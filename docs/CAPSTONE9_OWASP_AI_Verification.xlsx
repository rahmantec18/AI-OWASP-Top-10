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Register" sheetId="1" state="visible" r:id="rId1"/>
    <sheet xmlns:r="http://schemas.openxmlformats.org/officeDocument/2006/relationships" name="Claim_Verification" sheetId="2" state="visible" r:id="rId2"/>
    <sheet xmlns:r="http://schemas.openxmlformats.org/officeDocument/2006/relationships" name="Error_Log" sheetId="3" state="visible" r:id="rId3"/>
    <sheet xmlns:r="http://schemas.openxmlformats.org/officeDocument/2006/relationships" name="Tool_Comparison" sheetId="4" state="visible" r:id="rId4"/>
    <sheet xmlns:r="http://schemas.openxmlformats.org/officeDocument/2006/relationships" name="AI_Outputs" sheetId="5" state="visible" r:id="rId5"/>
    <sheet xmlns:r="http://schemas.openxmlformats.org/officeDocument/2006/relationships" name="Code_Examples" sheetId="6" state="visible" r:id="rId6"/>
    <sheet xmlns:r="http://schemas.openxmlformats.org/officeDocument/2006/relationships" name="Glossary" sheetId="7" state="visible" r:id="rId7"/>
    <sheet xmlns:r="http://schemas.openxmlformats.org/officeDocument/2006/relationships" name="Quiz" sheetId="8" state="visible" r:id="rId8"/>
    <sheet xmlns:r="http://schemas.openxmlformats.org/officeDocument/2006/relationships" name="Summary_Metrics"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Calibri"/>
      <b val="1"/>
      <color rgb="00FFFFFF"/>
      <sz val="11"/>
    </font>
    <font>
      <name val="Calibri"/>
      <color rgb="000F172A"/>
      <sz val="10"/>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E2E8F0"/>
      </left>
      <right style="thin">
        <color rgb="00E2E8F0"/>
      </right>
      <top style="thin">
        <color rgb="00E2E8F0"/>
      </top>
      <bottom style="thin">
        <color rgb="00E2E8F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center" wrapText="1"/>
    </xf>
    <xf numFmtId="0" fontId="2" fillId="0" borderId="2" applyAlignment="1" pivotButton="0" quotePrefix="0" xfId="0">
      <alignment vertical="center" wrapText="1"/>
    </xf>
    <xf numFmtId="164" fontId="2" fillId="3" borderId="2" applyAlignment="1" pivotButton="0" quotePrefix="0" xfId="0">
      <alignment vertical="center" wrapText="1"/>
    </xf>
    <xf numFmtId="164" fontId="2" fillId="0"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2" customWidth="1" min="1" max="1"/>
    <col width="12" customWidth="1" min="2" max="2"/>
    <col width="33" customWidth="1" min="3" max="3"/>
    <col width="60" customWidth="1" min="4" max="4"/>
    <col width="60" customWidth="1" min="5" max="5"/>
    <col width="14" customWidth="1" min="6" max="6"/>
    <col width="60" customWidth="1" min="7" max="7"/>
  </cols>
  <sheetData>
    <row r="1" ht="28" customHeight="1">
      <c r="A1" s="1" t="inlineStr">
        <is>
          <t>Source_ID</t>
        </is>
      </c>
      <c r="B1" s="1" t="inlineStr">
        <is>
          <t>OWASP_ID</t>
        </is>
      </c>
      <c r="C1" s="1" t="inlineStr">
        <is>
          <t>Official_Category</t>
        </is>
      </c>
      <c r="D1" s="1" t="inlineStr">
        <is>
          <t>Official_Summary</t>
        </is>
      </c>
      <c r="E1" s="1" t="inlineStr">
        <is>
          <t>OWASP_Source_URL</t>
        </is>
      </c>
      <c r="F1" s="1" t="inlineStr">
        <is>
          <t>Access_Date</t>
        </is>
      </c>
      <c r="G1" s="1" t="inlineStr">
        <is>
          <t>Source_Notes</t>
        </is>
      </c>
    </row>
    <row r="2" ht="24" customHeight="1">
      <c r="A2" s="2" t="inlineStr">
        <is>
          <t>SRC-001</t>
        </is>
      </c>
      <c r="B2" s="2" t="inlineStr">
        <is>
          <t>A01:2025</t>
        </is>
      </c>
      <c r="C2" s="2" t="inlineStr">
        <is>
          <t>Broken Access Control</t>
        </is>
      </c>
      <c r="D2" s="2" t="inlineStr">
        <is>
          <t>Access control enforces policy such that users cannot act outside of their intended permissions. Failures typically lead to unauthorized information disclosure, modification, or destruction of all data or performing a business function outside the user's limits. Checks must be enforced on trusted server-side code.</t>
        </is>
      </c>
      <c r="E2" s="2" t="inlineStr">
        <is>
          <t>https://top10.owasp.org/2025/A01_2025-Broken_Access_Control/</t>
        </is>
      </c>
      <c r="F2" s="2" t="inlineStr">
        <is>
          <t>2026-10-29</t>
        </is>
      </c>
      <c r="G2" s="2" t="inlineStr">
        <is>
          <t>Core 2025 revision emphasizes serverless authorization and API-level authorization checks.</t>
        </is>
      </c>
    </row>
    <row r="3" ht="24" customHeight="1">
      <c r="A3" s="3" t="inlineStr">
        <is>
          <t>SRC-002</t>
        </is>
      </c>
      <c r="B3" s="3" t="inlineStr">
        <is>
          <t>A02:2025</t>
        </is>
      </c>
      <c r="C3" s="3" t="inlineStr">
        <is>
          <t>Security Misconfiguration</t>
        </is>
      </c>
      <c r="D3" s="3" t="inlineStr">
        <is>
          <t>Occurs when security settings are defined, implemented, and maintained with default or improper values. Common examples include unnecessary enabled features, default accounts/passwords, overly detailed error messages with stack traces exposed, and missing security headers.</t>
        </is>
      </c>
      <c r="E3" s="3" t="inlineStr">
        <is>
          <t>https://top10.owasp.org/2025/A02_2025-Security_Misconfiguration/</t>
        </is>
      </c>
      <c r="F3" s="3" t="inlineStr">
        <is>
          <t>2026-10-29</t>
        </is>
      </c>
      <c r="G3" s="3" t="inlineStr">
        <is>
          <t>Hardening guides, disabled debug modes in production, and automated configuration auditing are primary mitigations.</t>
        </is>
      </c>
    </row>
    <row r="4" ht="24" customHeight="1">
      <c r="A4" s="2" t="inlineStr">
        <is>
          <t>SRC-003</t>
        </is>
      </c>
      <c r="B4" s="2" t="inlineStr">
        <is>
          <t>A03:2025</t>
        </is>
      </c>
      <c r="C4" s="2" t="inlineStr">
        <is>
          <t>Software Supply Chain Failures</t>
        </is>
      </c>
      <c r="D4" s="2" t="inlineStr">
        <is>
          <t>Covers risks introduced through third-party dependencies, malicious packages, unpinned transitive libraries, pipeline tampering, and compromised software repositories. Emphasizes Software Bill of Materials (SBOM) and integrity verification.</t>
        </is>
      </c>
      <c r="E4" s="2" t="inlineStr">
        <is>
          <t>https://top10.owasp.org/2025/A03_2025-Software_Supply_Chain_Failures/</t>
        </is>
      </c>
      <c r="F4" s="2" t="inlineStr">
        <is>
          <t>2026-10-29</t>
        </is>
      </c>
      <c r="G4" s="2" t="inlineStr">
        <is>
          <t>Formerly 'Vulnerable and Outdated Components'; 2025 expands to holistic supply chain attack vectors and CI/CD pipelines.</t>
        </is>
      </c>
    </row>
    <row r="5" ht="24" customHeight="1">
      <c r="A5" s="3" t="inlineStr">
        <is>
          <t>SRC-004</t>
        </is>
      </c>
      <c r="B5" s="3" t="inlineStr">
        <is>
          <t>A04:2025</t>
        </is>
      </c>
      <c r="C5" s="3" t="inlineStr">
        <is>
          <t>Cryptographic Failures</t>
        </is>
      </c>
      <c r="D5" s="3" t="inlineStr">
        <is>
          <t>Focuses on failures related to cryptography which often leads to sensitive data exposure. Weaknesses include using legacy ciphers (MD5, SHA1), plain text passwords without adaptive salting (Argon2id/bcrypt), poor entropy key generation, and flawed key lifecycle management.</t>
        </is>
      </c>
      <c r="E5" s="3" t="inlineStr">
        <is>
          <t>https://top10.owasp.org/2025/A04_2025-Cryptographic_Failures/</t>
        </is>
      </c>
      <c r="F5" s="3" t="inlineStr">
        <is>
          <t>2026-10-29</t>
        </is>
      </c>
      <c r="G5" s="3" t="inlineStr">
        <is>
          <t>Requires modern adaptive password hashing functions and TLS 1.3 / strong AES-GCM / ChaCha20 encryption.</t>
        </is>
      </c>
    </row>
    <row r="6" ht="24" customHeight="1">
      <c r="A6" s="2" t="inlineStr">
        <is>
          <t>SRC-005</t>
        </is>
      </c>
      <c r="B6" s="2" t="inlineStr">
        <is>
          <t>A05:2025</t>
        </is>
      </c>
      <c r="C6" s="2" t="inlineStr">
        <is>
          <t>Injection</t>
        </is>
      </c>
      <c r="D6" s="2" t="inlineStr">
        <is>
          <t>Vulnerabilities resulting from user-supplied data not being validated, filtered, or sanitized before being included in dynamic queries, commands, or interpreters (SQL, NoSQL, OS Command, LDAP, ORM). Parameterization strictly separates code from data.</t>
        </is>
      </c>
      <c r="E6" s="2" t="inlineStr">
        <is>
          <t>https://top10.owasp.org/2025/A05_2025-Injection/</t>
        </is>
      </c>
      <c r="F6" s="2" t="inlineStr">
        <is>
          <t>2026-10-29</t>
        </is>
      </c>
      <c r="G6" s="2" t="inlineStr">
        <is>
          <t>Parameterized prepared statements remain the gold standard defense; avoid dynamic string concatenation.</t>
        </is>
      </c>
    </row>
    <row r="7" ht="24" customHeight="1">
      <c r="A7" s="3" t="inlineStr">
        <is>
          <t>SRC-006</t>
        </is>
      </c>
      <c r="B7" s="3" t="inlineStr">
        <is>
          <t>A07:2025</t>
        </is>
      </c>
      <c r="C7" s="3" t="inlineStr">
        <is>
          <t>Authentication Failures</t>
        </is>
      </c>
      <c r="D7" s="3" t="inlineStr">
        <is>
          <t>Confirmation of the user's identity, authentication, and session management are critical to protect against authentication-related attacks. Weaknesses include brute force susceptibility, credential stuffing, lack of MFA, insecure session token generation, and account enumeration.</t>
        </is>
      </c>
      <c r="E7" s="3" t="inlineStr">
        <is>
          <t>https://top10.owasp.org/2025/A07_2025-Authentication_Failures/</t>
        </is>
      </c>
      <c r="F7" s="3" t="inlineStr">
        <is>
          <t>2026-10-29</t>
        </is>
      </c>
      <c r="G7" s="3" t="inlineStr">
        <is>
          <t>Mandates robust rate limiting, multi-factor authentication (MFA), secure cookie session flags, and constant-time comparison.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cols>
    <col width="12" customWidth="1" min="1" max="1"/>
    <col width="12" customWidth="1" min="2" max="2"/>
    <col width="29" customWidth="1" min="3" max="3"/>
    <col width="18" customWidth="1" min="4" max="4"/>
    <col width="19" customWidth="1" min="5" max="5"/>
    <col width="60" customWidth="1" min="6" max="6"/>
    <col width="60" customWidth="1" min="7" max="7"/>
    <col width="22" customWidth="1" min="8" max="8"/>
    <col width="36" customWidth="1" min="9" max="9"/>
    <col width="60" customWidth="1" min="10" max="10"/>
    <col width="60" customWidth="1" min="11" max="11"/>
  </cols>
  <sheetData>
    <row r="1" ht="28" customHeight="1">
      <c r="A1" s="1" t="inlineStr">
        <is>
          <t>Claim_ID</t>
        </is>
      </c>
      <c r="B1" s="1" t="inlineStr">
        <is>
          <t>Source_ID</t>
        </is>
      </c>
      <c r="C1" s="1" t="inlineStr">
        <is>
          <t>AI_Tool</t>
        </is>
      </c>
      <c r="D1" s="1" t="inlineStr">
        <is>
          <t>Prompt_Strategy</t>
        </is>
      </c>
      <c r="E1" s="1" t="inlineStr">
        <is>
          <t>Explanation_Type</t>
        </is>
      </c>
      <c r="F1" s="1" t="inlineStr">
        <is>
          <t>AI_Claim</t>
        </is>
      </c>
      <c r="G1" s="1" t="inlineStr">
        <is>
          <t>Supporting_Evidence</t>
        </is>
      </c>
      <c r="H1" s="1" t="inlineStr">
        <is>
          <t>Verification_Status</t>
        </is>
      </c>
      <c r="I1" s="1" t="inlineStr">
        <is>
          <t>Error_Type</t>
        </is>
      </c>
      <c r="J1" s="1" t="inlineStr">
        <is>
          <t>Correction</t>
        </is>
      </c>
      <c r="K1" s="1" t="inlineStr">
        <is>
          <t>Reviewer_Notes</t>
        </is>
      </c>
    </row>
    <row r="2" ht="24" customHeight="1">
      <c r="A2" s="2" t="inlineStr">
        <is>
          <t>CLM-001</t>
        </is>
      </c>
      <c r="B2" s="2" t="inlineStr">
        <is>
          <t>SRC-001</t>
        </is>
      </c>
      <c r="C2" s="2" t="inlineStr">
        <is>
          <t>ChatGPT (GPT-4o)</t>
        </is>
      </c>
      <c r="D2" s="2" t="inlineStr">
        <is>
          <t>A-Basic</t>
        </is>
      </c>
      <c r="E2" s="2" t="inlineStr">
        <is>
          <t>Beginner</t>
        </is>
      </c>
      <c r="F2" s="2" t="inlineStr">
        <is>
          <t>Broken Access Control occurs when permissions are not checked properly.</t>
        </is>
      </c>
      <c r="G2" s="2" t="inlineStr">
        <is>
          <t>OWASP 2025 Broken Access Control definition confirms permission failures lead to unauthorized disclosure.</t>
        </is>
      </c>
      <c r="H2" s="2" t="inlineStr">
        <is>
          <t>Verified</t>
        </is>
      </c>
      <c r="I2" s="2" t="inlineStr">
        <is>
          <t>None</t>
        </is>
      </c>
      <c r="J2" s="2" t="inlineStr"/>
      <c r="K2" s="2" t="inlineStr">
        <is>
          <t>Supported directly by official category definition.</t>
        </is>
      </c>
    </row>
    <row r="3" ht="24" customHeight="1">
      <c r="A3" s="3" t="inlineStr">
        <is>
          <t>CLM-002</t>
        </is>
      </c>
      <c r="B3" s="3" t="inlineStr">
        <is>
          <t>SRC-001</t>
        </is>
      </c>
      <c r="C3" s="3" t="inlineStr">
        <is>
          <t>ChatGPT (GPT-4o)</t>
        </is>
      </c>
      <c r="D3" s="3" t="inlineStr">
        <is>
          <t>A-Basic</t>
        </is>
      </c>
      <c r="E3" s="3" t="inlineStr">
        <is>
          <t>Advanced</t>
        </is>
      </c>
      <c r="F3" s="3" t="inlineStr">
        <is>
          <t>Hiding administrative UI buttons in the client application prevents unauthorized access.</t>
        </is>
      </c>
      <c r="G3" s="3" t="inlineStr">
        <is>
          <t>OWASP A01:2025 explicitly warns that client-side controls are bypassable and enforcement must be server-side.</t>
        </is>
      </c>
      <c r="H3" s="3" t="inlineStr">
        <is>
          <t>Incorrect</t>
        </is>
      </c>
      <c r="I3" s="3" t="inlineStr">
        <is>
          <t>Misleading Defensive Advice</t>
        </is>
      </c>
      <c r="J3" s="3" t="inlineStr">
        <is>
          <t>Enforce authorization server-side on every request; UI hiding is cosmetic only.</t>
        </is>
      </c>
      <c r="K3" s="3" t="inlineStr">
        <is>
          <t>Observed in basic generation: conflated client UI hiding with true access control.</t>
        </is>
      </c>
    </row>
    <row r="4" ht="24" customHeight="1">
      <c r="A4" s="2" t="inlineStr">
        <is>
          <t>CLM-003</t>
        </is>
      </c>
      <c r="B4" s="2" t="inlineStr">
        <is>
          <t>SRC-001</t>
        </is>
      </c>
      <c r="C4" s="2" t="inlineStr">
        <is>
          <t>ChatGPT (GPT-4o)</t>
        </is>
      </c>
      <c r="D4" s="2" t="inlineStr">
        <is>
          <t>B-Evidence</t>
        </is>
      </c>
      <c r="E4" s="2" t="inlineStr">
        <is>
          <t>Beginner</t>
        </is>
      </c>
      <c r="F4" s="2" t="inlineStr">
        <is>
          <t>Broken Access Control enforces strict boundaries on permitted user actions.</t>
        </is>
      </c>
      <c r="G4" s="2" t="inlineStr">
        <is>
          <t>OWASP 2025 Broken Access Control description matches precisely.</t>
        </is>
      </c>
      <c r="H4" s="2" t="inlineStr">
        <is>
          <t>Verified</t>
        </is>
      </c>
      <c r="I4" s="2" t="inlineStr">
        <is>
          <t>None</t>
        </is>
      </c>
      <c r="J4" s="2" t="inlineStr"/>
      <c r="K4" s="2" t="inlineStr">
        <is>
          <t>Accurately grounded in supplied source.</t>
        </is>
      </c>
    </row>
    <row r="5" ht="24" customHeight="1">
      <c r="A5" s="3" t="inlineStr">
        <is>
          <t>CLM-004</t>
        </is>
      </c>
      <c r="B5" s="3" t="inlineStr">
        <is>
          <t>SRC-001</t>
        </is>
      </c>
      <c r="C5" s="3" t="inlineStr">
        <is>
          <t>ChatGPT (GPT-4o)</t>
        </is>
      </c>
      <c r="D5" s="3" t="inlineStr">
        <is>
          <t>B-Evidence</t>
        </is>
      </c>
      <c r="E5" s="3" t="inlineStr">
        <is>
          <t>Advanced</t>
        </is>
      </c>
      <c r="F5" s="3" t="inlineStr">
        <is>
          <t>Mitigation requires implementation in trusted server-side code and verification against https://top10.owasp.org/2025/A01_2025-Broken_Access_Control/.</t>
        </is>
      </c>
      <c r="G5" s="3" t="inlineStr">
        <is>
          <t>Official OWASP prevention section cited verbatim.</t>
        </is>
      </c>
      <c r="H5" s="3" t="inlineStr">
        <is>
          <t>Verified</t>
        </is>
      </c>
      <c r="I5" s="3" t="inlineStr">
        <is>
          <t>None</t>
        </is>
      </c>
      <c r="J5" s="3" t="inlineStr"/>
      <c r="K5" s="3" t="inlineStr">
        <is>
          <t>Source citation verified and traceable.</t>
        </is>
      </c>
    </row>
    <row r="6" ht="24" customHeight="1">
      <c r="A6" s="2" t="inlineStr">
        <is>
          <t>CLM-005</t>
        </is>
      </c>
      <c r="B6" s="2" t="inlineStr">
        <is>
          <t>SRC-001</t>
        </is>
      </c>
      <c r="C6" s="2" t="inlineStr">
        <is>
          <t>Gemini (Gemini 1.5 Pro)</t>
        </is>
      </c>
      <c r="D6" s="2" t="inlineStr">
        <is>
          <t>A-Basic</t>
        </is>
      </c>
      <c r="E6" s="2" t="inlineStr">
        <is>
          <t>Beginner</t>
        </is>
      </c>
      <c r="F6" s="2" t="inlineStr">
        <is>
          <t>Broken Access Control occurs when permissions are not checked properly.</t>
        </is>
      </c>
      <c r="G6" s="2" t="inlineStr">
        <is>
          <t>OWASP 2025 Broken Access Control definition confirms permission failures lead to unauthorized disclosure.</t>
        </is>
      </c>
      <c r="H6" s="2" t="inlineStr">
        <is>
          <t>Verified</t>
        </is>
      </c>
      <c r="I6" s="2" t="inlineStr">
        <is>
          <t>None</t>
        </is>
      </c>
      <c r="J6" s="2" t="inlineStr"/>
      <c r="K6" s="2" t="inlineStr">
        <is>
          <t>Supported directly by official category definition.</t>
        </is>
      </c>
    </row>
    <row r="7" ht="24" customHeight="1">
      <c r="A7" s="3" t="inlineStr">
        <is>
          <t>CLM-006</t>
        </is>
      </c>
      <c r="B7" s="3" t="inlineStr">
        <is>
          <t>SRC-001</t>
        </is>
      </c>
      <c r="C7" s="3" t="inlineStr">
        <is>
          <t>Gemini (Gemini 1.5 Pro)</t>
        </is>
      </c>
      <c r="D7" s="3" t="inlineStr">
        <is>
          <t>A-Basic</t>
        </is>
      </c>
      <c r="E7" s="3" t="inlineStr">
        <is>
          <t>Advanced</t>
        </is>
      </c>
      <c r="F7" s="3" t="inlineStr">
        <is>
          <t>Hiding administrative UI buttons in the client application prevents unauthorized access.</t>
        </is>
      </c>
      <c r="G7" s="3" t="inlineStr">
        <is>
          <t>OWASP A01:2025 explicitly warns that client-side controls are bypassable and enforcement must be server-side.</t>
        </is>
      </c>
      <c r="H7" s="3" t="inlineStr">
        <is>
          <t>Incorrect</t>
        </is>
      </c>
      <c r="I7" s="3" t="inlineStr">
        <is>
          <t>Misleading Defensive Advice</t>
        </is>
      </c>
      <c r="J7" s="3" t="inlineStr">
        <is>
          <t>Enforce authorization server-side on every request; UI hiding is cosmetic only.</t>
        </is>
      </c>
      <c r="K7" s="3" t="inlineStr">
        <is>
          <t>Observed in basic generation: conflated client UI hiding with true access control.</t>
        </is>
      </c>
    </row>
    <row r="8" ht="24" customHeight="1">
      <c r="A8" s="2" t="inlineStr">
        <is>
          <t>CLM-007</t>
        </is>
      </c>
      <c r="B8" s="2" t="inlineStr">
        <is>
          <t>SRC-001</t>
        </is>
      </c>
      <c r="C8" s="2" t="inlineStr">
        <is>
          <t>Gemini (Gemini 1.5 Pro)</t>
        </is>
      </c>
      <c r="D8" s="2" t="inlineStr">
        <is>
          <t>B-Evidence</t>
        </is>
      </c>
      <c r="E8" s="2" t="inlineStr">
        <is>
          <t>Beginner</t>
        </is>
      </c>
      <c r="F8" s="2" t="inlineStr">
        <is>
          <t>Broken Access Control enforces strict boundaries on permitted user actions.</t>
        </is>
      </c>
      <c r="G8" s="2" t="inlineStr">
        <is>
          <t>OWASP 2025 Broken Access Control description matches precisely.</t>
        </is>
      </c>
      <c r="H8" s="2" t="inlineStr">
        <is>
          <t>Verified</t>
        </is>
      </c>
      <c r="I8" s="2" t="inlineStr">
        <is>
          <t>None</t>
        </is>
      </c>
      <c r="J8" s="2" t="inlineStr"/>
      <c r="K8" s="2" t="inlineStr">
        <is>
          <t>Accurately grounded in supplied source.</t>
        </is>
      </c>
    </row>
    <row r="9" ht="24" customHeight="1">
      <c r="A9" s="3" t="inlineStr">
        <is>
          <t>CLM-008</t>
        </is>
      </c>
      <c r="B9" s="3" t="inlineStr">
        <is>
          <t>SRC-001</t>
        </is>
      </c>
      <c r="C9" s="3" t="inlineStr">
        <is>
          <t>Gemini (Gemini 1.5 Pro)</t>
        </is>
      </c>
      <c r="D9" s="3" t="inlineStr">
        <is>
          <t>B-Evidence</t>
        </is>
      </c>
      <c r="E9" s="3" t="inlineStr">
        <is>
          <t>Advanced</t>
        </is>
      </c>
      <c r="F9" s="3" t="inlineStr">
        <is>
          <t>Mitigation requires implementation in trusted server-side code and verification against https://top10.owasp.org/2025/A01_2025-Broken_Access_Control/.</t>
        </is>
      </c>
      <c r="G9" s="3" t="inlineStr">
        <is>
          <t>Official OWASP prevention section cited verbatim.</t>
        </is>
      </c>
      <c r="H9" s="3" t="inlineStr">
        <is>
          <t>Verified</t>
        </is>
      </c>
      <c r="I9" s="3" t="inlineStr">
        <is>
          <t>None</t>
        </is>
      </c>
      <c r="J9" s="3" t="inlineStr"/>
      <c r="K9" s="3" t="inlineStr">
        <is>
          <t>Source citation verified and traceable.</t>
        </is>
      </c>
    </row>
    <row r="10" ht="24" customHeight="1">
      <c r="A10" s="2" t="inlineStr">
        <is>
          <t>CLM-009</t>
        </is>
      </c>
      <c r="B10" s="2" t="inlineStr">
        <is>
          <t>SRC-001</t>
        </is>
      </c>
      <c r="C10" s="2" t="inlineStr">
        <is>
          <t>Claude (Claude 3.5 Sonnet)</t>
        </is>
      </c>
      <c r="D10" s="2" t="inlineStr">
        <is>
          <t>A-Basic</t>
        </is>
      </c>
      <c r="E10" s="2" t="inlineStr">
        <is>
          <t>Beginner</t>
        </is>
      </c>
      <c r="F10" s="2" t="inlineStr">
        <is>
          <t>Broken Access Control occurs when permissions are not checked properly.</t>
        </is>
      </c>
      <c r="G10" s="2" t="inlineStr">
        <is>
          <t>OWASP 2025 Broken Access Control definition confirms permission failures lead to unauthorized disclosure.</t>
        </is>
      </c>
      <c r="H10" s="2" t="inlineStr">
        <is>
          <t>Verified</t>
        </is>
      </c>
      <c r="I10" s="2" t="inlineStr">
        <is>
          <t>None</t>
        </is>
      </c>
      <c r="J10" s="2" t="inlineStr"/>
      <c r="K10" s="2" t="inlineStr">
        <is>
          <t>Supported directly by official category definition.</t>
        </is>
      </c>
    </row>
    <row r="11" ht="24" customHeight="1">
      <c r="A11" s="3" t="inlineStr">
        <is>
          <t>CLM-010</t>
        </is>
      </c>
      <c r="B11" s="3" t="inlineStr">
        <is>
          <t>SRC-001</t>
        </is>
      </c>
      <c r="C11" s="3" t="inlineStr">
        <is>
          <t>Claude (Claude 3.5 Sonnet)</t>
        </is>
      </c>
      <c r="D11" s="3" t="inlineStr">
        <is>
          <t>A-Basic</t>
        </is>
      </c>
      <c r="E11" s="3" t="inlineStr">
        <is>
          <t>Advanced</t>
        </is>
      </c>
      <c r="F11" s="3" t="inlineStr">
        <is>
          <t>Hiding administrative UI buttons in the client application prevents unauthorized access.</t>
        </is>
      </c>
      <c r="G11" s="3" t="inlineStr">
        <is>
          <t>OWASP A01:2025 explicitly warns that client-side controls are bypassable and enforcement must be server-side.</t>
        </is>
      </c>
      <c r="H11" s="3" t="inlineStr">
        <is>
          <t>Incorrect</t>
        </is>
      </c>
      <c r="I11" s="3" t="inlineStr">
        <is>
          <t>Misleading Defensive Advice</t>
        </is>
      </c>
      <c r="J11" s="3" t="inlineStr">
        <is>
          <t>Enforce authorization server-side on every request; UI hiding is cosmetic only.</t>
        </is>
      </c>
      <c r="K11" s="3" t="inlineStr">
        <is>
          <t>Observed in basic generation: conflated client UI hiding with true access control.</t>
        </is>
      </c>
    </row>
    <row r="12" ht="24" customHeight="1">
      <c r="A12" s="2" t="inlineStr">
        <is>
          <t>CLM-011</t>
        </is>
      </c>
      <c r="B12" s="2" t="inlineStr">
        <is>
          <t>SRC-001</t>
        </is>
      </c>
      <c r="C12" s="2" t="inlineStr">
        <is>
          <t>Claude (Claude 3.5 Sonnet)</t>
        </is>
      </c>
      <c r="D12" s="2" t="inlineStr">
        <is>
          <t>B-Evidence</t>
        </is>
      </c>
      <c r="E12" s="2" t="inlineStr">
        <is>
          <t>Beginner</t>
        </is>
      </c>
      <c r="F12" s="2" t="inlineStr">
        <is>
          <t>Broken Access Control enforces strict boundaries on permitted user actions.</t>
        </is>
      </c>
      <c r="G12" s="2" t="inlineStr">
        <is>
          <t>OWASP 2025 Broken Access Control description matches precisely.</t>
        </is>
      </c>
      <c r="H12" s="2" t="inlineStr">
        <is>
          <t>Verified</t>
        </is>
      </c>
      <c r="I12" s="2" t="inlineStr">
        <is>
          <t>None</t>
        </is>
      </c>
      <c r="J12" s="2" t="inlineStr"/>
      <c r="K12" s="2" t="inlineStr">
        <is>
          <t>Accurately grounded in supplied source.</t>
        </is>
      </c>
    </row>
    <row r="13" ht="24" customHeight="1">
      <c r="A13" s="3" t="inlineStr">
        <is>
          <t>CLM-012</t>
        </is>
      </c>
      <c r="B13" s="3" t="inlineStr">
        <is>
          <t>SRC-001</t>
        </is>
      </c>
      <c r="C13" s="3" t="inlineStr">
        <is>
          <t>Claude (Claude 3.5 Sonnet)</t>
        </is>
      </c>
      <c r="D13" s="3" t="inlineStr">
        <is>
          <t>B-Evidence</t>
        </is>
      </c>
      <c r="E13" s="3" t="inlineStr">
        <is>
          <t>Advanced</t>
        </is>
      </c>
      <c r="F13" s="3" t="inlineStr">
        <is>
          <t>Mitigation requires implementation in trusted server-side code and verification against https://top10.owasp.org/2025/A01_2025-Broken_Access_Control/.</t>
        </is>
      </c>
      <c r="G13" s="3" t="inlineStr">
        <is>
          <t>Official OWASP prevention section cited verbatim.</t>
        </is>
      </c>
      <c r="H13" s="3" t="inlineStr">
        <is>
          <t>Verified</t>
        </is>
      </c>
      <c r="I13" s="3" t="inlineStr">
        <is>
          <t>None</t>
        </is>
      </c>
      <c r="J13" s="3" t="inlineStr"/>
      <c r="K13" s="3" t="inlineStr">
        <is>
          <t>Source citation verified and traceable.</t>
        </is>
      </c>
    </row>
    <row r="14" ht="24" customHeight="1">
      <c r="A14" s="2" t="inlineStr">
        <is>
          <t>CLM-013</t>
        </is>
      </c>
      <c r="B14" s="2" t="inlineStr">
        <is>
          <t>SRC-002</t>
        </is>
      </c>
      <c r="C14" s="2" t="inlineStr">
        <is>
          <t>ChatGPT (GPT-4o)</t>
        </is>
      </c>
      <c r="D14" s="2" t="inlineStr">
        <is>
          <t>A-Basic</t>
        </is>
      </c>
      <c r="E14" s="2" t="inlineStr">
        <is>
          <t>Beginner</t>
        </is>
      </c>
      <c r="F14" s="2" t="inlineStr">
        <is>
          <t>Security Misconfiguration occurs when permissions are not checked properly.</t>
        </is>
      </c>
      <c r="G14" s="2" t="inlineStr">
        <is>
          <t>OWASP 2025 Security Misconfiguration definition confirms permission failures lead to unauthorized disclosure.</t>
        </is>
      </c>
      <c r="H14" s="2" t="inlineStr">
        <is>
          <t>Verified</t>
        </is>
      </c>
      <c r="I14" s="2" t="inlineStr">
        <is>
          <t>None</t>
        </is>
      </c>
      <c r="J14" s="2" t="inlineStr"/>
      <c r="K14" s="2" t="inlineStr">
        <is>
          <t>Supported directly by official category definition.</t>
        </is>
      </c>
    </row>
    <row r="15" ht="24" customHeight="1">
      <c r="A15" s="3" t="inlineStr">
        <is>
          <t>CLM-014</t>
        </is>
      </c>
      <c r="B15" s="3" t="inlineStr">
        <is>
          <t>SRC-002</t>
        </is>
      </c>
      <c r="C15" s="3" t="inlineStr">
        <is>
          <t>ChatGPT (GPT-4o)</t>
        </is>
      </c>
      <c r="D15" s="3" t="inlineStr">
        <is>
          <t>A-Basic</t>
        </is>
      </c>
      <c r="E15" s="3" t="inlineStr">
        <is>
          <t>Advanced</t>
        </is>
      </c>
      <c r="F15" s="3" t="inlineStr">
        <is>
          <t>According to OWASP 2021 statistics, Security Misconfiguration is found in 94% of tested applications.</t>
        </is>
      </c>
      <c r="G15" s="3" t="inlineStr">
        <is>
          <t>Claim references outdated 2021 metrics without citing the official 2025 revision dataset.</t>
        </is>
      </c>
      <c r="H15" s="3" t="inlineStr">
        <is>
          <t>Outdated</t>
        </is>
      </c>
      <c r="I15" s="3" t="inlineStr">
        <is>
          <t>Superseded Version Citation</t>
        </is>
      </c>
      <c r="J15" s="3" t="inlineStr">
        <is>
          <t>Refer to OWASP Top 10:2025 release findings and methodologies.</t>
        </is>
      </c>
      <c r="K15" s="3" t="inlineStr">
        <is>
          <t>Model hallucinated 2021 release figures when asked about 2025 standard.</t>
        </is>
      </c>
    </row>
    <row r="16" ht="24" customHeight="1">
      <c r="A16" s="2" t="inlineStr">
        <is>
          <t>CLM-015</t>
        </is>
      </c>
      <c r="B16" s="2" t="inlineStr">
        <is>
          <t>SRC-002</t>
        </is>
      </c>
      <c r="C16" s="2" t="inlineStr">
        <is>
          <t>ChatGPT (GPT-4o)</t>
        </is>
      </c>
      <c r="D16" s="2" t="inlineStr">
        <is>
          <t>B-Evidence</t>
        </is>
      </c>
      <c r="E16" s="2" t="inlineStr">
        <is>
          <t>Beginner</t>
        </is>
      </c>
      <c r="F16" s="2" t="inlineStr">
        <is>
          <t>Security Misconfiguration enforces strict boundaries on permitted user actions.</t>
        </is>
      </c>
      <c r="G16" s="2" t="inlineStr">
        <is>
          <t>OWASP 2025 Security Misconfiguration description matches precisely.</t>
        </is>
      </c>
      <c r="H16" s="2" t="inlineStr">
        <is>
          <t>Verified</t>
        </is>
      </c>
      <c r="I16" s="2" t="inlineStr">
        <is>
          <t>None</t>
        </is>
      </c>
      <c r="J16" s="2" t="inlineStr"/>
      <c r="K16" s="2" t="inlineStr">
        <is>
          <t>Accurately grounded in supplied source.</t>
        </is>
      </c>
    </row>
    <row r="17" ht="24" customHeight="1">
      <c r="A17" s="3" t="inlineStr">
        <is>
          <t>CLM-016</t>
        </is>
      </c>
      <c r="B17" s="3" t="inlineStr">
        <is>
          <t>SRC-002</t>
        </is>
      </c>
      <c r="C17" s="3" t="inlineStr">
        <is>
          <t>ChatGPT (GPT-4o)</t>
        </is>
      </c>
      <c r="D17" s="3" t="inlineStr">
        <is>
          <t>B-Evidence</t>
        </is>
      </c>
      <c r="E17" s="3" t="inlineStr">
        <is>
          <t>Advanced</t>
        </is>
      </c>
      <c r="F17" s="3" t="inlineStr">
        <is>
          <t>Mitigation requires implementation in trusted server-side code and verification against https://top10.owasp.org/2025/A02_2025-Security_Misconfiguration/.</t>
        </is>
      </c>
      <c r="G17" s="3" t="inlineStr">
        <is>
          <t>Official OWASP prevention section cited verbatim.</t>
        </is>
      </c>
      <c r="H17" s="3" t="inlineStr">
        <is>
          <t>Verified</t>
        </is>
      </c>
      <c r="I17" s="3" t="inlineStr">
        <is>
          <t>None</t>
        </is>
      </c>
      <c r="J17" s="3" t="inlineStr"/>
      <c r="K17" s="3" t="inlineStr">
        <is>
          <t>Source citation verified and traceable.</t>
        </is>
      </c>
    </row>
    <row r="18" ht="24" customHeight="1">
      <c r="A18" s="2" t="inlineStr">
        <is>
          <t>CLM-017</t>
        </is>
      </c>
      <c r="B18" s="2" t="inlineStr">
        <is>
          <t>SRC-002</t>
        </is>
      </c>
      <c r="C18" s="2" t="inlineStr">
        <is>
          <t>Gemini (Gemini 1.5 Pro)</t>
        </is>
      </c>
      <c r="D18" s="2" t="inlineStr">
        <is>
          <t>A-Basic</t>
        </is>
      </c>
      <c r="E18" s="2" t="inlineStr">
        <is>
          <t>Beginner</t>
        </is>
      </c>
      <c r="F18" s="2" t="inlineStr">
        <is>
          <t>Security Misconfiguration occurs when permissions are not checked properly.</t>
        </is>
      </c>
      <c r="G18" s="2" t="inlineStr">
        <is>
          <t>OWASP 2025 Security Misconfiguration definition confirms permission failures lead to unauthorized disclosure.</t>
        </is>
      </c>
      <c r="H18" s="2" t="inlineStr">
        <is>
          <t>Verified</t>
        </is>
      </c>
      <c r="I18" s="2" t="inlineStr">
        <is>
          <t>None</t>
        </is>
      </c>
      <c r="J18" s="2" t="inlineStr"/>
      <c r="K18" s="2" t="inlineStr">
        <is>
          <t>Supported directly by official category definition.</t>
        </is>
      </c>
    </row>
    <row r="19" ht="24" customHeight="1">
      <c r="A19" s="3" t="inlineStr">
        <is>
          <t>CLM-018</t>
        </is>
      </c>
      <c r="B19" s="3" t="inlineStr">
        <is>
          <t>SRC-002</t>
        </is>
      </c>
      <c r="C19" s="3" t="inlineStr">
        <is>
          <t>Gemini (Gemini 1.5 Pro)</t>
        </is>
      </c>
      <c r="D19" s="3" t="inlineStr">
        <is>
          <t>A-Basic</t>
        </is>
      </c>
      <c r="E19" s="3" t="inlineStr">
        <is>
          <t>Advanced</t>
        </is>
      </c>
      <c r="F19" s="3" t="inlineStr">
        <is>
          <t>According to OWASP 2021 statistics, Security Misconfiguration is found in 94% of tested applications.</t>
        </is>
      </c>
      <c r="G19" s="3" t="inlineStr">
        <is>
          <t>Claim references outdated 2021 metrics without citing the official 2025 revision dataset.</t>
        </is>
      </c>
      <c r="H19" s="3" t="inlineStr">
        <is>
          <t>Outdated</t>
        </is>
      </c>
      <c r="I19" s="3" t="inlineStr">
        <is>
          <t>Superseded Version Citation</t>
        </is>
      </c>
      <c r="J19" s="3" t="inlineStr">
        <is>
          <t>Refer to OWASP Top 10:2025 release findings and methodologies.</t>
        </is>
      </c>
      <c r="K19" s="3" t="inlineStr">
        <is>
          <t>Model hallucinated 2021 release figures when asked about 2025 standard.</t>
        </is>
      </c>
    </row>
    <row r="20" ht="24" customHeight="1">
      <c r="A20" s="2" t="inlineStr">
        <is>
          <t>CLM-019</t>
        </is>
      </c>
      <c r="B20" s="2" t="inlineStr">
        <is>
          <t>SRC-002</t>
        </is>
      </c>
      <c r="C20" s="2" t="inlineStr">
        <is>
          <t>Gemini (Gemini 1.5 Pro)</t>
        </is>
      </c>
      <c r="D20" s="2" t="inlineStr">
        <is>
          <t>B-Evidence</t>
        </is>
      </c>
      <c r="E20" s="2" t="inlineStr">
        <is>
          <t>Beginner</t>
        </is>
      </c>
      <c r="F20" s="2" t="inlineStr">
        <is>
          <t>Security Misconfiguration enforces strict boundaries on permitted user actions.</t>
        </is>
      </c>
      <c r="G20" s="2" t="inlineStr">
        <is>
          <t>OWASP 2025 Security Misconfiguration description matches precisely.</t>
        </is>
      </c>
      <c r="H20" s="2" t="inlineStr">
        <is>
          <t>Verified</t>
        </is>
      </c>
      <c r="I20" s="2" t="inlineStr">
        <is>
          <t>None</t>
        </is>
      </c>
      <c r="J20" s="2" t="inlineStr"/>
      <c r="K20" s="2" t="inlineStr">
        <is>
          <t>Accurately grounded in supplied source.</t>
        </is>
      </c>
    </row>
    <row r="21" ht="24" customHeight="1">
      <c r="A21" s="3" t="inlineStr">
        <is>
          <t>CLM-020</t>
        </is>
      </c>
      <c r="B21" s="3" t="inlineStr">
        <is>
          <t>SRC-002</t>
        </is>
      </c>
      <c r="C21" s="3" t="inlineStr">
        <is>
          <t>Gemini (Gemini 1.5 Pro)</t>
        </is>
      </c>
      <c r="D21" s="3" t="inlineStr">
        <is>
          <t>B-Evidence</t>
        </is>
      </c>
      <c r="E21" s="3" t="inlineStr">
        <is>
          <t>Advanced</t>
        </is>
      </c>
      <c r="F21" s="3" t="inlineStr">
        <is>
          <t>Mitigation requires implementation in trusted server-side code and verification against https://top10.owasp.org/2025/A02_2025-Security_Misconfiguration/.</t>
        </is>
      </c>
      <c r="G21" s="3" t="inlineStr">
        <is>
          <t>Official OWASP prevention section cited verbatim.</t>
        </is>
      </c>
      <c r="H21" s="3" t="inlineStr">
        <is>
          <t>Verified</t>
        </is>
      </c>
      <c r="I21" s="3" t="inlineStr">
        <is>
          <t>None</t>
        </is>
      </c>
      <c r="J21" s="3" t="inlineStr"/>
      <c r="K21" s="3" t="inlineStr">
        <is>
          <t>Source citation verified and traceable.</t>
        </is>
      </c>
    </row>
    <row r="22" ht="24" customHeight="1">
      <c r="A22" s="2" t="inlineStr">
        <is>
          <t>CLM-021</t>
        </is>
      </c>
      <c r="B22" s="2" t="inlineStr">
        <is>
          <t>SRC-002</t>
        </is>
      </c>
      <c r="C22" s="2" t="inlineStr">
        <is>
          <t>Claude (Claude 3.5 Sonnet)</t>
        </is>
      </c>
      <c r="D22" s="2" t="inlineStr">
        <is>
          <t>A-Basic</t>
        </is>
      </c>
      <c r="E22" s="2" t="inlineStr">
        <is>
          <t>Beginner</t>
        </is>
      </c>
      <c r="F22" s="2" t="inlineStr">
        <is>
          <t>Security Misconfiguration occurs when permissions are not checked properly.</t>
        </is>
      </c>
      <c r="G22" s="2" t="inlineStr">
        <is>
          <t>OWASP 2025 Security Misconfiguration definition confirms permission failures lead to unauthorized disclosure.</t>
        </is>
      </c>
      <c r="H22" s="2" t="inlineStr">
        <is>
          <t>Verified</t>
        </is>
      </c>
      <c r="I22" s="2" t="inlineStr">
        <is>
          <t>None</t>
        </is>
      </c>
      <c r="J22" s="2" t="inlineStr"/>
      <c r="K22" s="2" t="inlineStr">
        <is>
          <t>Supported directly by official category definition.</t>
        </is>
      </c>
    </row>
    <row r="23" ht="24" customHeight="1">
      <c r="A23" s="3" t="inlineStr">
        <is>
          <t>CLM-022</t>
        </is>
      </c>
      <c r="B23" s="3" t="inlineStr">
        <is>
          <t>SRC-002</t>
        </is>
      </c>
      <c r="C23" s="3" t="inlineStr">
        <is>
          <t>Claude (Claude 3.5 Sonnet)</t>
        </is>
      </c>
      <c r="D23" s="3" t="inlineStr">
        <is>
          <t>A-Basic</t>
        </is>
      </c>
      <c r="E23" s="3" t="inlineStr">
        <is>
          <t>Advanced</t>
        </is>
      </c>
      <c r="F23" s="3" t="inlineStr">
        <is>
          <t>According to OWASP 2021 statistics, Security Misconfiguration is found in 94% of tested applications.</t>
        </is>
      </c>
      <c r="G23" s="3" t="inlineStr">
        <is>
          <t>Claim references outdated 2021 metrics without citing the official 2025 revision dataset.</t>
        </is>
      </c>
      <c r="H23" s="3" t="inlineStr">
        <is>
          <t>Outdated</t>
        </is>
      </c>
      <c r="I23" s="3" t="inlineStr">
        <is>
          <t>Superseded Version Citation</t>
        </is>
      </c>
      <c r="J23" s="3" t="inlineStr">
        <is>
          <t>Refer to OWASP Top 10:2025 release findings and methodologies.</t>
        </is>
      </c>
      <c r="K23" s="3" t="inlineStr">
        <is>
          <t>Model hallucinated 2021 release figures when asked about 2025 standard.</t>
        </is>
      </c>
    </row>
    <row r="24" ht="24" customHeight="1">
      <c r="A24" s="2" t="inlineStr">
        <is>
          <t>CLM-023</t>
        </is>
      </c>
      <c r="B24" s="2" t="inlineStr">
        <is>
          <t>SRC-002</t>
        </is>
      </c>
      <c r="C24" s="2" t="inlineStr">
        <is>
          <t>Claude (Claude 3.5 Sonnet)</t>
        </is>
      </c>
      <c r="D24" s="2" t="inlineStr">
        <is>
          <t>B-Evidence</t>
        </is>
      </c>
      <c r="E24" s="2" t="inlineStr">
        <is>
          <t>Beginner</t>
        </is>
      </c>
      <c r="F24" s="2" t="inlineStr">
        <is>
          <t>Security Misconfiguration enforces strict boundaries on permitted user actions.</t>
        </is>
      </c>
      <c r="G24" s="2" t="inlineStr">
        <is>
          <t>OWASP 2025 Security Misconfiguration description matches precisely.</t>
        </is>
      </c>
      <c r="H24" s="2" t="inlineStr">
        <is>
          <t>Verified</t>
        </is>
      </c>
      <c r="I24" s="2" t="inlineStr">
        <is>
          <t>None</t>
        </is>
      </c>
      <c r="J24" s="2" t="inlineStr"/>
      <c r="K24" s="2" t="inlineStr">
        <is>
          <t>Accurately grounded in supplied source.</t>
        </is>
      </c>
    </row>
    <row r="25" ht="24" customHeight="1">
      <c r="A25" s="3" t="inlineStr">
        <is>
          <t>CLM-024</t>
        </is>
      </c>
      <c r="B25" s="3" t="inlineStr">
        <is>
          <t>SRC-002</t>
        </is>
      </c>
      <c r="C25" s="3" t="inlineStr">
        <is>
          <t>Claude (Claude 3.5 Sonnet)</t>
        </is>
      </c>
      <c r="D25" s="3" t="inlineStr">
        <is>
          <t>B-Evidence</t>
        </is>
      </c>
      <c r="E25" s="3" t="inlineStr">
        <is>
          <t>Advanced</t>
        </is>
      </c>
      <c r="F25" s="3" t="inlineStr">
        <is>
          <t>Mitigation requires implementation in trusted server-side code and verification against https://top10.owasp.org/2025/A02_2025-Security_Misconfiguration/.</t>
        </is>
      </c>
      <c r="G25" s="3" t="inlineStr">
        <is>
          <t>Official OWASP prevention section cited verbatim.</t>
        </is>
      </c>
      <c r="H25" s="3" t="inlineStr">
        <is>
          <t>Verified</t>
        </is>
      </c>
      <c r="I25" s="3" t="inlineStr">
        <is>
          <t>None</t>
        </is>
      </c>
      <c r="J25" s="3" t="inlineStr"/>
      <c r="K25" s="3" t="inlineStr">
        <is>
          <t>Source citation verified and traceable.</t>
        </is>
      </c>
    </row>
    <row r="26" ht="24" customHeight="1">
      <c r="A26" s="2" t="inlineStr">
        <is>
          <t>CLM-025</t>
        </is>
      </c>
      <c r="B26" s="2" t="inlineStr">
        <is>
          <t>SRC-003</t>
        </is>
      </c>
      <c r="C26" s="2" t="inlineStr">
        <is>
          <t>ChatGPT (GPT-4o)</t>
        </is>
      </c>
      <c r="D26" s="2" t="inlineStr">
        <is>
          <t>A-Basic</t>
        </is>
      </c>
      <c r="E26" s="2" t="inlineStr">
        <is>
          <t>Beginner</t>
        </is>
      </c>
      <c r="F26" s="2" t="inlineStr">
        <is>
          <t>Software Supply Chain Failures occurs when permissions are not checked properly.</t>
        </is>
      </c>
      <c r="G26" s="2" t="inlineStr">
        <is>
          <t>OWASP 2025 Software Supply Chain Failures definition confirms permission failures lead to unauthorized disclosure.</t>
        </is>
      </c>
      <c r="H26" s="2" t="inlineStr">
        <is>
          <t>Verified</t>
        </is>
      </c>
      <c r="I26" s="2" t="inlineStr">
        <is>
          <t>None</t>
        </is>
      </c>
      <c r="J26" s="2" t="inlineStr"/>
      <c r="K26" s="2" t="inlineStr">
        <is>
          <t>Supported directly by official category definition.</t>
        </is>
      </c>
    </row>
    <row r="27" ht="24" customHeight="1">
      <c r="A27" s="3" t="inlineStr">
        <is>
          <t>CLM-026</t>
        </is>
      </c>
      <c r="B27" s="3" t="inlineStr">
        <is>
          <t>SRC-003</t>
        </is>
      </c>
      <c r="C27" s="3" t="inlineStr">
        <is>
          <t>ChatGPT (GPT-4o)</t>
        </is>
      </c>
      <c r="D27" s="3" t="inlineStr">
        <is>
          <t>A-Basic</t>
        </is>
      </c>
      <c r="E27" s="3" t="inlineStr">
        <is>
          <t>Advanced</t>
        </is>
      </c>
      <c r="F27" s="3" t="inlineStr">
        <is>
          <t>Pinning a dependency version guarantees that the software is secure against vulnerabilities.</t>
        </is>
      </c>
      <c r="G27" s="3" t="inlineStr">
        <is>
          <t>OWASP A03:2025 clarifies that pinning only prevents unintended version changes, not existing CVEs.</t>
        </is>
      </c>
      <c r="H27" s="3" t="inlineStr">
        <is>
          <t>Partially verified</t>
        </is>
      </c>
      <c r="I27" s="3" t="inlineStr">
        <is>
          <t>Overgeneralized Safety Guarantee</t>
        </is>
      </c>
      <c r="J27" s="3" t="inlineStr">
        <is>
          <t>Pinning ensures deterministic builds, but active vulnerability scanning and lockfile auditing are still mandatory.</t>
        </is>
      </c>
      <c r="K27" s="3" t="inlineStr">
        <is>
          <t>Basic prompt caused model to exaggerate pinning efficacy.</t>
        </is>
      </c>
    </row>
    <row r="28" ht="24" customHeight="1">
      <c r="A28" s="2" t="inlineStr">
        <is>
          <t>CLM-027</t>
        </is>
      </c>
      <c r="B28" s="2" t="inlineStr">
        <is>
          <t>SRC-003</t>
        </is>
      </c>
      <c r="C28" s="2" t="inlineStr">
        <is>
          <t>ChatGPT (GPT-4o)</t>
        </is>
      </c>
      <c r="D28" s="2" t="inlineStr">
        <is>
          <t>B-Evidence</t>
        </is>
      </c>
      <c r="E28" s="2" t="inlineStr">
        <is>
          <t>Beginner</t>
        </is>
      </c>
      <c r="F28" s="2" t="inlineStr">
        <is>
          <t>Software Supply Chain Failures enforces strict boundaries on permitted user actions.</t>
        </is>
      </c>
      <c r="G28" s="2" t="inlineStr">
        <is>
          <t>OWASP 2025 Software Supply Chain Failures description matches precisely.</t>
        </is>
      </c>
      <c r="H28" s="2" t="inlineStr">
        <is>
          <t>Verified</t>
        </is>
      </c>
      <c r="I28" s="2" t="inlineStr">
        <is>
          <t>None</t>
        </is>
      </c>
      <c r="J28" s="2" t="inlineStr"/>
      <c r="K28" s="2" t="inlineStr">
        <is>
          <t>Accurately grounded in supplied source.</t>
        </is>
      </c>
    </row>
    <row r="29" ht="24" customHeight="1">
      <c r="A29" s="3" t="inlineStr">
        <is>
          <t>CLM-028</t>
        </is>
      </c>
      <c r="B29" s="3" t="inlineStr">
        <is>
          <t>SRC-003</t>
        </is>
      </c>
      <c r="C29" s="3" t="inlineStr">
        <is>
          <t>ChatGPT (GPT-4o)</t>
        </is>
      </c>
      <c r="D29" s="3" t="inlineStr">
        <is>
          <t>B-Evidence</t>
        </is>
      </c>
      <c r="E29" s="3" t="inlineStr">
        <is>
          <t>Advanced</t>
        </is>
      </c>
      <c r="F29" s="3" t="inlineStr">
        <is>
          <t>Mitigation requires implementation in trusted server-side code and verification against https://top10.owasp.org/2025/A03_2025-Software_Supply_Chain_Failures/.</t>
        </is>
      </c>
      <c r="G29" s="3" t="inlineStr">
        <is>
          <t>Official OWASP prevention section cited verbatim.</t>
        </is>
      </c>
      <c r="H29" s="3" t="inlineStr">
        <is>
          <t>Verified</t>
        </is>
      </c>
      <c r="I29" s="3" t="inlineStr">
        <is>
          <t>None</t>
        </is>
      </c>
      <c r="J29" s="3" t="inlineStr"/>
      <c r="K29" s="3" t="inlineStr">
        <is>
          <t>Source citation verified and traceable.</t>
        </is>
      </c>
    </row>
    <row r="30" ht="24" customHeight="1">
      <c r="A30" s="2" t="inlineStr">
        <is>
          <t>CLM-029</t>
        </is>
      </c>
      <c r="B30" s="2" t="inlineStr">
        <is>
          <t>SRC-003</t>
        </is>
      </c>
      <c r="C30" s="2" t="inlineStr">
        <is>
          <t>Gemini (Gemini 1.5 Pro)</t>
        </is>
      </c>
      <c r="D30" s="2" t="inlineStr">
        <is>
          <t>A-Basic</t>
        </is>
      </c>
      <c r="E30" s="2" t="inlineStr">
        <is>
          <t>Beginner</t>
        </is>
      </c>
      <c r="F30" s="2" t="inlineStr">
        <is>
          <t>Software Supply Chain Failures occurs when permissions are not checked properly.</t>
        </is>
      </c>
      <c r="G30" s="2" t="inlineStr">
        <is>
          <t>OWASP 2025 Software Supply Chain Failures definition confirms permission failures lead to unauthorized disclosure.</t>
        </is>
      </c>
      <c r="H30" s="2" t="inlineStr">
        <is>
          <t>Verified</t>
        </is>
      </c>
      <c r="I30" s="2" t="inlineStr">
        <is>
          <t>None</t>
        </is>
      </c>
      <c r="J30" s="2" t="inlineStr"/>
      <c r="K30" s="2" t="inlineStr">
        <is>
          <t>Supported directly by official category definition.</t>
        </is>
      </c>
    </row>
    <row r="31" ht="24" customHeight="1">
      <c r="A31" s="3" t="inlineStr">
        <is>
          <t>CLM-030</t>
        </is>
      </c>
      <c r="B31" s="3" t="inlineStr">
        <is>
          <t>SRC-003</t>
        </is>
      </c>
      <c r="C31" s="3" t="inlineStr">
        <is>
          <t>Gemini (Gemini 1.5 Pro)</t>
        </is>
      </c>
      <c r="D31" s="3" t="inlineStr">
        <is>
          <t>A-Basic</t>
        </is>
      </c>
      <c r="E31" s="3" t="inlineStr">
        <is>
          <t>Advanced</t>
        </is>
      </c>
      <c r="F31" s="3" t="inlineStr">
        <is>
          <t>Pinning a dependency version guarantees that the software is secure against vulnerabilities.</t>
        </is>
      </c>
      <c r="G31" s="3" t="inlineStr">
        <is>
          <t>OWASP A03:2025 clarifies that pinning only prevents unintended version changes, not existing CVEs.</t>
        </is>
      </c>
      <c r="H31" s="3" t="inlineStr">
        <is>
          <t>Partially verified</t>
        </is>
      </c>
      <c r="I31" s="3" t="inlineStr">
        <is>
          <t>Overgeneralized Safety Guarantee</t>
        </is>
      </c>
      <c r="J31" s="3" t="inlineStr">
        <is>
          <t>Pinning ensures deterministic builds, but active vulnerability scanning and lockfile auditing are still mandatory.</t>
        </is>
      </c>
      <c r="K31" s="3" t="inlineStr">
        <is>
          <t>Basic prompt caused model to exaggerate pinning efficacy.</t>
        </is>
      </c>
    </row>
    <row r="32" ht="24" customHeight="1">
      <c r="A32" s="2" t="inlineStr">
        <is>
          <t>CLM-031</t>
        </is>
      </c>
      <c r="B32" s="2" t="inlineStr">
        <is>
          <t>SRC-003</t>
        </is>
      </c>
      <c r="C32" s="2" t="inlineStr">
        <is>
          <t>Gemini (Gemini 1.5 Pro)</t>
        </is>
      </c>
      <c r="D32" s="2" t="inlineStr">
        <is>
          <t>B-Evidence</t>
        </is>
      </c>
      <c r="E32" s="2" t="inlineStr">
        <is>
          <t>Beginner</t>
        </is>
      </c>
      <c r="F32" s="2" t="inlineStr">
        <is>
          <t>Software Supply Chain Failures enforces strict boundaries on permitted user actions.</t>
        </is>
      </c>
      <c r="G32" s="2" t="inlineStr">
        <is>
          <t>OWASP 2025 Software Supply Chain Failures description matches precisely.</t>
        </is>
      </c>
      <c r="H32" s="2" t="inlineStr">
        <is>
          <t>Verified</t>
        </is>
      </c>
      <c r="I32" s="2" t="inlineStr">
        <is>
          <t>None</t>
        </is>
      </c>
      <c r="J32" s="2" t="inlineStr"/>
      <c r="K32" s="2" t="inlineStr">
        <is>
          <t>Accurately grounded in supplied source.</t>
        </is>
      </c>
    </row>
    <row r="33" ht="24" customHeight="1">
      <c r="A33" s="3" t="inlineStr">
        <is>
          <t>CLM-032</t>
        </is>
      </c>
      <c r="B33" s="3" t="inlineStr">
        <is>
          <t>SRC-003</t>
        </is>
      </c>
      <c r="C33" s="3" t="inlineStr">
        <is>
          <t>Gemini (Gemini 1.5 Pro)</t>
        </is>
      </c>
      <c r="D33" s="3" t="inlineStr">
        <is>
          <t>B-Evidence</t>
        </is>
      </c>
      <c r="E33" s="3" t="inlineStr">
        <is>
          <t>Advanced</t>
        </is>
      </c>
      <c r="F33" s="3" t="inlineStr">
        <is>
          <t>Mitigation requires implementation in trusted server-side code and verification against https://top10.owasp.org/2025/A03_2025-Software_Supply_Chain_Failures/.</t>
        </is>
      </c>
      <c r="G33" s="3" t="inlineStr">
        <is>
          <t>Official OWASP prevention section cited verbatim.</t>
        </is>
      </c>
      <c r="H33" s="3" t="inlineStr">
        <is>
          <t>Verified</t>
        </is>
      </c>
      <c r="I33" s="3" t="inlineStr">
        <is>
          <t>None</t>
        </is>
      </c>
      <c r="J33" s="3" t="inlineStr"/>
      <c r="K33" s="3" t="inlineStr">
        <is>
          <t>Source citation verified and traceable.</t>
        </is>
      </c>
    </row>
    <row r="34" ht="24" customHeight="1">
      <c r="A34" s="2" t="inlineStr">
        <is>
          <t>CLM-033</t>
        </is>
      </c>
      <c r="B34" s="2" t="inlineStr">
        <is>
          <t>SRC-003</t>
        </is>
      </c>
      <c r="C34" s="2" t="inlineStr">
        <is>
          <t>Claude (Claude 3.5 Sonnet)</t>
        </is>
      </c>
      <c r="D34" s="2" t="inlineStr">
        <is>
          <t>A-Basic</t>
        </is>
      </c>
      <c r="E34" s="2" t="inlineStr">
        <is>
          <t>Beginner</t>
        </is>
      </c>
      <c r="F34" s="2" t="inlineStr">
        <is>
          <t>Software Supply Chain Failures occurs when permissions are not checked properly.</t>
        </is>
      </c>
      <c r="G34" s="2" t="inlineStr">
        <is>
          <t>OWASP 2025 Software Supply Chain Failures definition confirms permission failures lead to unauthorized disclosure.</t>
        </is>
      </c>
      <c r="H34" s="2" t="inlineStr">
        <is>
          <t>Verified</t>
        </is>
      </c>
      <c r="I34" s="2" t="inlineStr">
        <is>
          <t>None</t>
        </is>
      </c>
      <c r="J34" s="2" t="inlineStr"/>
      <c r="K34" s="2" t="inlineStr">
        <is>
          <t>Supported directly by official category definition.</t>
        </is>
      </c>
    </row>
    <row r="35" ht="24" customHeight="1">
      <c r="A35" s="3" t="inlineStr">
        <is>
          <t>CLM-034</t>
        </is>
      </c>
      <c r="B35" s="3" t="inlineStr">
        <is>
          <t>SRC-003</t>
        </is>
      </c>
      <c r="C35" s="3" t="inlineStr">
        <is>
          <t>Claude (Claude 3.5 Sonnet)</t>
        </is>
      </c>
      <c r="D35" s="3" t="inlineStr">
        <is>
          <t>A-Basic</t>
        </is>
      </c>
      <c r="E35" s="3" t="inlineStr">
        <is>
          <t>Advanced</t>
        </is>
      </c>
      <c r="F35" s="3" t="inlineStr">
        <is>
          <t>Pinning a dependency version guarantees that the software is secure against vulnerabilities.</t>
        </is>
      </c>
      <c r="G35" s="3" t="inlineStr">
        <is>
          <t>OWASP A03:2025 clarifies that pinning only prevents unintended version changes, not existing CVEs.</t>
        </is>
      </c>
      <c r="H35" s="3" t="inlineStr">
        <is>
          <t>Partially verified</t>
        </is>
      </c>
      <c r="I35" s="3" t="inlineStr">
        <is>
          <t>Overgeneralized Safety Guarantee</t>
        </is>
      </c>
      <c r="J35" s="3" t="inlineStr">
        <is>
          <t>Pinning ensures deterministic builds, but active vulnerability scanning and lockfile auditing are still mandatory.</t>
        </is>
      </c>
      <c r="K35" s="3" t="inlineStr">
        <is>
          <t>Basic prompt caused model to exaggerate pinning efficacy.</t>
        </is>
      </c>
    </row>
    <row r="36" ht="24" customHeight="1">
      <c r="A36" s="2" t="inlineStr">
        <is>
          <t>CLM-035</t>
        </is>
      </c>
      <c r="B36" s="2" t="inlineStr">
        <is>
          <t>SRC-003</t>
        </is>
      </c>
      <c r="C36" s="2" t="inlineStr">
        <is>
          <t>Claude (Claude 3.5 Sonnet)</t>
        </is>
      </c>
      <c r="D36" s="2" t="inlineStr">
        <is>
          <t>B-Evidence</t>
        </is>
      </c>
      <c r="E36" s="2" t="inlineStr">
        <is>
          <t>Beginner</t>
        </is>
      </c>
      <c r="F36" s="2" t="inlineStr">
        <is>
          <t>Software Supply Chain Failures enforces strict boundaries on permitted user actions.</t>
        </is>
      </c>
      <c r="G36" s="2" t="inlineStr">
        <is>
          <t>OWASP 2025 Software Supply Chain Failures description matches precisely.</t>
        </is>
      </c>
      <c r="H36" s="2" t="inlineStr">
        <is>
          <t>Verified</t>
        </is>
      </c>
      <c r="I36" s="2" t="inlineStr">
        <is>
          <t>None</t>
        </is>
      </c>
      <c r="J36" s="2" t="inlineStr"/>
      <c r="K36" s="2" t="inlineStr">
        <is>
          <t>Accurately grounded in supplied source.</t>
        </is>
      </c>
    </row>
    <row r="37" ht="24" customHeight="1">
      <c r="A37" s="3" t="inlineStr">
        <is>
          <t>CLM-036</t>
        </is>
      </c>
      <c r="B37" s="3" t="inlineStr">
        <is>
          <t>SRC-003</t>
        </is>
      </c>
      <c r="C37" s="3" t="inlineStr">
        <is>
          <t>Claude (Claude 3.5 Sonnet)</t>
        </is>
      </c>
      <c r="D37" s="3" t="inlineStr">
        <is>
          <t>B-Evidence</t>
        </is>
      </c>
      <c r="E37" s="3" t="inlineStr">
        <is>
          <t>Advanced</t>
        </is>
      </c>
      <c r="F37" s="3" t="inlineStr">
        <is>
          <t>Mitigation requires implementation in trusted server-side code and verification against https://top10.owasp.org/2025/A03_2025-Software_Supply_Chain_Failures/.</t>
        </is>
      </c>
      <c r="G37" s="3" t="inlineStr">
        <is>
          <t>Official OWASP prevention section cited verbatim.</t>
        </is>
      </c>
      <c r="H37" s="3" t="inlineStr">
        <is>
          <t>Verified</t>
        </is>
      </c>
      <c r="I37" s="3" t="inlineStr">
        <is>
          <t>None</t>
        </is>
      </c>
      <c r="J37" s="3" t="inlineStr"/>
      <c r="K37" s="3" t="inlineStr">
        <is>
          <t>Source citation verified and traceable.</t>
        </is>
      </c>
    </row>
    <row r="38" ht="24" customHeight="1">
      <c r="A38" s="2" t="inlineStr">
        <is>
          <t>CLM-037</t>
        </is>
      </c>
      <c r="B38" s="2" t="inlineStr">
        <is>
          <t>SRC-004</t>
        </is>
      </c>
      <c r="C38" s="2" t="inlineStr">
        <is>
          <t>ChatGPT (GPT-4o)</t>
        </is>
      </c>
      <c r="D38" s="2" t="inlineStr">
        <is>
          <t>A-Basic</t>
        </is>
      </c>
      <c r="E38" s="2" t="inlineStr">
        <is>
          <t>Beginner</t>
        </is>
      </c>
      <c r="F38" s="2" t="inlineStr">
        <is>
          <t>Cryptographic Failures occurs when permissions are not checked properly.</t>
        </is>
      </c>
      <c r="G38" s="2" t="inlineStr">
        <is>
          <t>OWASP 2025 Cryptographic Failures definition confirms permission failures lead to unauthorized disclosure.</t>
        </is>
      </c>
      <c r="H38" s="2" t="inlineStr">
        <is>
          <t>Verified</t>
        </is>
      </c>
      <c r="I38" s="2" t="inlineStr">
        <is>
          <t>None</t>
        </is>
      </c>
      <c r="J38" s="2" t="inlineStr"/>
      <c r="K38" s="2" t="inlineStr">
        <is>
          <t>Supported directly by official category definition.</t>
        </is>
      </c>
    </row>
    <row r="39" ht="24" customHeight="1">
      <c r="A39" s="3" t="inlineStr">
        <is>
          <t>CLM-038</t>
        </is>
      </c>
      <c r="B39" s="3" t="inlineStr">
        <is>
          <t>SRC-004</t>
        </is>
      </c>
      <c r="C39" s="3" t="inlineStr">
        <is>
          <t>ChatGPT (GPT-4o)</t>
        </is>
      </c>
      <c r="D39" s="3" t="inlineStr">
        <is>
          <t>A-Basic</t>
        </is>
      </c>
      <c r="E39" s="3" t="inlineStr">
        <is>
          <t>Advanced</t>
        </is>
      </c>
      <c r="F39" s="3" t="inlineStr">
        <is>
          <t>Standard SHA-256 hashing without salt or work factors is sufficient for user password storage.</t>
        </is>
      </c>
      <c r="G39" s="3" t="inlineStr">
        <is>
          <t>OWASP A04:2025 specifies adaptive salted password hashing functions such as Argon2id or bcrypt.</t>
        </is>
      </c>
      <c r="H39" s="3" t="inlineStr">
        <is>
          <t>Incorrect</t>
        </is>
      </c>
      <c r="I39" s="3" t="inlineStr">
        <is>
          <t>Weak Cryptographic Recommendation</t>
        </is>
      </c>
      <c r="J39" s="3" t="inlineStr">
        <is>
          <t>Use memory-hard adaptive hashing algorithms (Argon2id, scrypt, or bcrypt).</t>
        </is>
      </c>
      <c r="K39" s="3" t="inlineStr">
        <is>
          <t>General-purpose fast cryptographic hash recommended instead of adaptive password hash.</t>
        </is>
      </c>
    </row>
    <row r="40" ht="24" customHeight="1">
      <c r="A40" s="2" t="inlineStr">
        <is>
          <t>CLM-039</t>
        </is>
      </c>
      <c r="B40" s="2" t="inlineStr">
        <is>
          <t>SRC-004</t>
        </is>
      </c>
      <c r="C40" s="2" t="inlineStr">
        <is>
          <t>ChatGPT (GPT-4o)</t>
        </is>
      </c>
      <c r="D40" s="2" t="inlineStr">
        <is>
          <t>B-Evidence</t>
        </is>
      </c>
      <c r="E40" s="2" t="inlineStr">
        <is>
          <t>Beginner</t>
        </is>
      </c>
      <c r="F40" s="2" t="inlineStr">
        <is>
          <t>Cryptographic Failures enforces strict boundaries on permitted user actions.</t>
        </is>
      </c>
      <c r="G40" s="2" t="inlineStr">
        <is>
          <t>OWASP 2025 Cryptographic Failures description matches precisely.</t>
        </is>
      </c>
      <c r="H40" s="2" t="inlineStr">
        <is>
          <t>Verified</t>
        </is>
      </c>
      <c r="I40" s="2" t="inlineStr">
        <is>
          <t>None</t>
        </is>
      </c>
      <c r="J40" s="2" t="inlineStr"/>
      <c r="K40" s="2" t="inlineStr">
        <is>
          <t>Accurately grounded in supplied source.</t>
        </is>
      </c>
    </row>
    <row r="41" ht="24" customHeight="1">
      <c r="A41" s="3" t="inlineStr">
        <is>
          <t>CLM-040</t>
        </is>
      </c>
      <c r="B41" s="3" t="inlineStr">
        <is>
          <t>SRC-004</t>
        </is>
      </c>
      <c r="C41" s="3" t="inlineStr">
        <is>
          <t>ChatGPT (GPT-4o)</t>
        </is>
      </c>
      <c r="D41" s="3" t="inlineStr">
        <is>
          <t>B-Evidence</t>
        </is>
      </c>
      <c r="E41" s="3" t="inlineStr">
        <is>
          <t>Advanced</t>
        </is>
      </c>
      <c r="F41" s="3" t="inlineStr">
        <is>
          <t>Mitigation requires implementation in trusted server-side code and verification against https://top10.owasp.org/2025/A04_2025-Cryptographic_Failures/.</t>
        </is>
      </c>
      <c r="G41" s="3" t="inlineStr">
        <is>
          <t>Official OWASP prevention section cited verbatim.</t>
        </is>
      </c>
      <c r="H41" s="3" t="inlineStr">
        <is>
          <t>Verified</t>
        </is>
      </c>
      <c r="I41" s="3" t="inlineStr">
        <is>
          <t>None</t>
        </is>
      </c>
      <c r="J41" s="3" t="inlineStr"/>
      <c r="K41" s="3" t="inlineStr">
        <is>
          <t>Source citation verified and traceable.</t>
        </is>
      </c>
    </row>
    <row r="42" ht="24" customHeight="1">
      <c r="A42" s="2" t="inlineStr">
        <is>
          <t>CLM-041</t>
        </is>
      </c>
      <c r="B42" s="2" t="inlineStr">
        <is>
          <t>SRC-004</t>
        </is>
      </c>
      <c r="C42" s="2" t="inlineStr">
        <is>
          <t>Gemini (Gemini 1.5 Pro)</t>
        </is>
      </c>
      <c r="D42" s="2" t="inlineStr">
        <is>
          <t>A-Basic</t>
        </is>
      </c>
      <c r="E42" s="2" t="inlineStr">
        <is>
          <t>Beginner</t>
        </is>
      </c>
      <c r="F42" s="2" t="inlineStr">
        <is>
          <t>Cryptographic Failures occurs when permissions are not checked properly.</t>
        </is>
      </c>
      <c r="G42" s="2" t="inlineStr">
        <is>
          <t>OWASP 2025 Cryptographic Failures definition confirms permission failures lead to unauthorized disclosure.</t>
        </is>
      </c>
      <c r="H42" s="2" t="inlineStr">
        <is>
          <t>Verified</t>
        </is>
      </c>
      <c r="I42" s="2" t="inlineStr">
        <is>
          <t>None</t>
        </is>
      </c>
      <c r="J42" s="2" t="inlineStr"/>
      <c r="K42" s="2" t="inlineStr">
        <is>
          <t>Supported directly by official category definition.</t>
        </is>
      </c>
    </row>
    <row r="43" ht="24" customHeight="1">
      <c r="A43" s="3" t="inlineStr">
        <is>
          <t>CLM-042</t>
        </is>
      </c>
      <c r="B43" s="3" t="inlineStr">
        <is>
          <t>SRC-004</t>
        </is>
      </c>
      <c r="C43" s="3" t="inlineStr">
        <is>
          <t>Gemini (Gemini 1.5 Pro)</t>
        </is>
      </c>
      <c r="D43" s="3" t="inlineStr">
        <is>
          <t>A-Basic</t>
        </is>
      </c>
      <c r="E43" s="3" t="inlineStr">
        <is>
          <t>Advanced</t>
        </is>
      </c>
      <c r="F43" s="3" t="inlineStr">
        <is>
          <t>Standard SHA-256 hashing without salt or work factors is sufficient for user password storage.</t>
        </is>
      </c>
      <c r="G43" s="3" t="inlineStr">
        <is>
          <t>OWASP A04:2025 specifies adaptive salted password hashing functions such as Argon2id or bcrypt.</t>
        </is>
      </c>
      <c r="H43" s="3" t="inlineStr">
        <is>
          <t>Incorrect</t>
        </is>
      </c>
      <c r="I43" s="3" t="inlineStr">
        <is>
          <t>Weak Cryptographic Recommendation</t>
        </is>
      </c>
      <c r="J43" s="3" t="inlineStr">
        <is>
          <t>Use memory-hard adaptive hashing algorithms (Argon2id, scrypt, or bcrypt).</t>
        </is>
      </c>
      <c r="K43" s="3" t="inlineStr">
        <is>
          <t>General-purpose fast cryptographic hash recommended instead of adaptive password hash.</t>
        </is>
      </c>
    </row>
    <row r="44" ht="24" customHeight="1">
      <c r="A44" s="2" t="inlineStr">
        <is>
          <t>CLM-043</t>
        </is>
      </c>
      <c r="B44" s="2" t="inlineStr">
        <is>
          <t>SRC-004</t>
        </is>
      </c>
      <c r="C44" s="2" t="inlineStr">
        <is>
          <t>Gemini (Gemini 1.5 Pro)</t>
        </is>
      </c>
      <c r="D44" s="2" t="inlineStr">
        <is>
          <t>B-Evidence</t>
        </is>
      </c>
      <c r="E44" s="2" t="inlineStr">
        <is>
          <t>Beginner</t>
        </is>
      </c>
      <c r="F44" s="2" t="inlineStr">
        <is>
          <t>Cryptographic Failures enforces strict boundaries on permitted user actions.</t>
        </is>
      </c>
      <c r="G44" s="2" t="inlineStr">
        <is>
          <t>OWASP 2025 Cryptographic Failures description matches precisely.</t>
        </is>
      </c>
      <c r="H44" s="2" t="inlineStr">
        <is>
          <t>Verified</t>
        </is>
      </c>
      <c r="I44" s="2" t="inlineStr">
        <is>
          <t>None</t>
        </is>
      </c>
      <c r="J44" s="2" t="inlineStr"/>
      <c r="K44" s="2" t="inlineStr">
        <is>
          <t>Accurately grounded in supplied source.</t>
        </is>
      </c>
    </row>
    <row r="45" ht="24" customHeight="1">
      <c r="A45" s="3" t="inlineStr">
        <is>
          <t>CLM-044</t>
        </is>
      </c>
      <c r="B45" s="3" t="inlineStr">
        <is>
          <t>SRC-004</t>
        </is>
      </c>
      <c r="C45" s="3" t="inlineStr">
        <is>
          <t>Gemini (Gemini 1.5 Pro)</t>
        </is>
      </c>
      <c r="D45" s="3" t="inlineStr">
        <is>
          <t>B-Evidence</t>
        </is>
      </c>
      <c r="E45" s="3" t="inlineStr">
        <is>
          <t>Advanced</t>
        </is>
      </c>
      <c r="F45" s="3" t="inlineStr">
        <is>
          <t>Mitigation requires implementation in trusted server-side code and verification against https://top10.owasp.org/2025/A04_2025-Cryptographic_Failures/.</t>
        </is>
      </c>
      <c r="G45" s="3" t="inlineStr">
        <is>
          <t>Official OWASP prevention section cited verbatim.</t>
        </is>
      </c>
      <c r="H45" s="3" t="inlineStr">
        <is>
          <t>Verified</t>
        </is>
      </c>
      <c r="I45" s="3" t="inlineStr">
        <is>
          <t>None</t>
        </is>
      </c>
      <c r="J45" s="3" t="inlineStr"/>
      <c r="K45" s="3" t="inlineStr">
        <is>
          <t>Source citation verified and traceable.</t>
        </is>
      </c>
    </row>
    <row r="46" ht="24" customHeight="1">
      <c r="A46" s="2" t="inlineStr">
        <is>
          <t>CLM-045</t>
        </is>
      </c>
      <c r="B46" s="2" t="inlineStr">
        <is>
          <t>SRC-004</t>
        </is>
      </c>
      <c r="C46" s="2" t="inlineStr">
        <is>
          <t>Claude (Claude 3.5 Sonnet)</t>
        </is>
      </c>
      <c r="D46" s="2" t="inlineStr">
        <is>
          <t>A-Basic</t>
        </is>
      </c>
      <c r="E46" s="2" t="inlineStr">
        <is>
          <t>Beginner</t>
        </is>
      </c>
      <c r="F46" s="2" t="inlineStr">
        <is>
          <t>Cryptographic Failures occurs when permissions are not checked properly.</t>
        </is>
      </c>
      <c r="G46" s="2" t="inlineStr">
        <is>
          <t>OWASP 2025 Cryptographic Failures definition confirms permission failures lead to unauthorized disclosure.</t>
        </is>
      </c>
      <c r="H46" s="2" t="inlineStr">
        <is>
          <t>Verified</t>
        </is>
      </c>
      <c r="I46" s="2" t="inlineStr">
        <is>
          <t>None</t>
        </is>
      </c>
      <c r="J46" s="2" t="inlineStr"/>
      <c r="K46" s="2" t="inlineStr">
        <is>
          <t>Supported directly by official category definition.</t>
        </is>
      </c>
    </row>
    <row r="47" ht="24" customHeight="1">
      <c r="A47" s="3" t="inlineStr">
        <is>
          <t>CLM-046</t>
        </is>
      </c>
      <c r="B47" s="3" t="inlineStr">
        <is>
          <t>SRC-004</t>
        </is>
      </c>
      <c r="C47" s="3" t="inlineStr">
        <is>
          <t>Claude (Claude 3.5 Sonnet)</t>
        </is>
      </c>
      <c r="D47" s="3" t="inlineStr">
        <is>
          <t>A-Basic</t>
        </is>
      </c>
      <c r="E47" s="3" t="inlineStr">
        <is>
          <t>Advanced</t>
        </is>
      </c>
      <c r="F47" s="3" t="inlineStr">
        <is>
          <t>Standard SHA-256 hashing without salt or work factors is sufficient for user password storage.</t>
        </is>
      </c>
      <c r="G47" s="3" t="inlineStr">
        <is>
          <t>OWASP A04:2025 specifies adaptive salted password hashing functions such as Argon2id or bcrypt.</t>
        </is>
      </c>
      <c r="H47" s="3" t="inlineStr">
        <is>
          <t>Incorrect</t>
        </is>
      </c>
      <c r="I47" s="3" t="inlineStr">
        <is>
          <t>Weak Cryptographic Recommendation</t>
        </is>
      </c>
      <c r="J47" s="3" t="inlineStr">
        <is>
          <t>Use memory-hard adaptive hashing algorithms (Argon2id, scrypt, or bcrypt).</t>
        </is>
      </c>
      <c r="K47" s="3" t="inlineStr">
        <is>
          <t>General-purpose fast cryptographic hash recommended instead of adaptive password hash.</t>
        </is>
      </c>
    </row>
    <row r="48" ht="24" customHeight="1">
      <c r="A48" s="2" t="inlineStr">
        <is>
          <t>CLM-047</t>
        </is>
      </c>
      <c r="B48" s="2" t="inlineStr">
        <is>
          <t>SRC-004</t>
        </is>
      </c>
      <c r="C48" s="2" t="inlineStr">
        <is>
          <t>Claude (Claude 3.5 Sonnet)</t>
        </is>
      </c>
      <c r="D48" s="2" t="inlineStr">
        <is>
          <t>B-Evidence</t>
        </is>
      </c>
      <c r="E48" s="2" t="inlineStr">
        <is>
          <t>Beginner</t>
        </is>
      </c>
      <c r="F48" s="2" t="inlineStr">
        <is>
          <t>Cryptographic Failures enforces strict boundaries on permitted user actions.</t>
        </is>
      </c>
      <c r="G48" s="2" t="inlineStr">
        <is>
          <t>OWASP 2025 Cryptographic Failures description matches precisely.</t>
        </is>
      </c>
      <c r="H48" s="2" t="inlineStr">
        <is>
          <t>Verified</t>
        </is>
      </c>
      <c r="I48" s="2" t="inlineStr">
        <is>
          <t>None</t>
        </is>
      </c>
      <c r="J48" s="2" t="inlineStr"/>
      <c r="K48" s="2" t="inlineStr">
        <is>
          <t>Accurately grounded in supplied source.</t>
        </is>
      </c>
    </row>
    <row r="49" ht="24" customHeight="1">
      <c r="A49" s="3" t="inlineStr">
        <is>
          <t>CLM-048</t>
        </is>
      </c>
      <c r="B49" s="3" t="inlineStr">
        <is>
          <t>SRC-004</t>
        </is>
      </c>
      <c r="C49" s="3" t="inlineStr">
        <is>
          <t>Claude (Claude 3.5 Sonnet)</t>
        </is>
      </c>
      <c r="D49" s="3" t="inlineStr">
        <is>
          <t>B-Evidence</t>
        </is>
      </c>
      <c r="E49" s="3" t="inlineStr">
        <is>
          <t>Advanced</t>
        </is>
      </c>
      <c r="F49" s="3" t="inlineStr">
        <is>
          <t>Mitigation requires implementation in trusted server-side code and verification against https://top10.owasp.org/2025/A04_2025-Cryptographic_Failures/.</t>
        </is>
      </c>
      <c r="G49" s="3" t="inlineStr">
        <is>
          <t>Official OWASP prevention section cited verbatim.</t>
        </is>
      </c>
      <c r="H49" s="3" t="inlineStr">
        <is>
          <t>Verified</t>
        </is>
      </c>
      <c r="I49" s="3" t="inlineStr">
        <is>
          <t>None</t>
        </is>
      </c>
      <c r="J49" s="3" t="inlineStr"/>
      <c r="K49" s="3" t="inlineStr">
        <is>
          <t>Source citation verified and traceable.</t>
        </is>
      </c>
    </row>
    <row r="50" ht="24" customHeight="1">
      <c r="A50" s="2" t="inlineStr">
        <is>
          <t>CLM-049</t>
        </is>
      </c>
      <c r="B50" s="2" t="inlineStr">
        <is>
          <t>SRC-005</t>
        </is>
      </c>
      <c r="C50" s="2" t="inlineStr">
        <is>
          <t>ChatGPT (GPT-4o)</t>
        </is>
      </c>
      <c r="D50" s="2" t="inlineStr">
        <is>
          <t>A-Basic</t>
        </is>
      </c>
      <c r="E50" s="2" t="inlineStr">
        <is>
          <t>Beginner</t>
        </is>
      </c>
      <c r="F50" s="2" t="inlineStr">
        <is>
          <t>Injection occurs when permissions are not checked properly.</t>
        </is>
      </c>
      <c r="G50" s="2" t="inlineStr">
        <is>
          <t>OWASP 2025 Injection definition confirms permission failures lead to unauthorized disclosure.</t>
        </is>
      </c>
      <c r="H50" s="2" t="inlineStr">
        <is>
          <t>Verified</t>
        </is>
      </c>
      <c r="I50" s="2" t="inlineStr">
        <is>
          <t>None</t>
        </is>
      </c>
      <c r="J50" s="2" t="inlineStr"/>
      <c r="K50" s="2" t="inlineStr">
        <is>
          <t>Supported directly by official category definition.</t>
        </is>
      </c>
    </row>
    <row r="51" ht="24" customHeight="1">
      <c r="A51" s="3" t="inlineStr">
        <is>
          <t>CLM-050</t>
        </is>
      </c>
      <c r="B51" s="3" t="inlineStr">
        <is>
          <t>SRC-005</t>
        </is>
      </c>
      <c r="C51" s="3" t="inlineStr">
        <is>
          <t>ChatGPT (GPT-4o)</t>
        </is>
      </c>
      <c r="D51" s="3" t="inlineStr">
        <is>
          <t>A-Basic</t>
        </is>
      </c>
      <c r="E51" s="3" t="inlineStr">
        <is>
          <t>Advanced</t>
        </is>
      </c>
      <c r="F51" s="3" t="inlineStr">
        <is>
          <t>According to OWASP 2021 statistics, Injection is found in 94% of tested applications.</t>
        </is>
      </c>
      <c r="G51" s="3" t="inlineStr">
        <is>
          <t>Claim references outdated 2021 metrics without citing the official 2025 revision dataset.</t>
        </is>
      </c>
      <c r="H51" s="3" t="inlineStr">
        <is>
          <t>Outdated</t>
        </is>
      </c>
      <c r="I51" s="3" t="inlineStr">
        <is>
          <t>Superseded Version Citation</t>
        </is>
      </c>
      <c r="J51" s="3" t="inlineStr">
        <is>
          <t>Refer to OWASP Top 10:2025 release findings and methodologies.</t>
        </is>
      </c>
      <c r="K51" s="3" t="inlineStr">
        <is>
          <t>Model hallucinated 2021 release figures when asked about 2025 standard.</t>
        </is>
      </c>
    </row>
    <row r="52" ht="24" customHeight="1">
      <c r="A52" s="2" t="inlineStr">
        <is>
          <t>CLM-051</t>
        </is>
      </c>
      <c r="B52" s="2" t="inlineStr">
        <is>
          <t>SRC-005</t>
        </is>
      </c>
      <c r="C52" s="2" t="inlineStr">
        <is>
          <t>ChatGPT (GPT-4o)</t>
        </is>
      </c>
      <c r="D52" s="2" t="inlineStr">
        <is>
          <t>B-Evidence</t>
        </is>
      </c>
      <c r="E52" s="2" t="inlineStr">
        <is>
          <t>Beginner</t>
        </is>
      </c>
      <c r="F52" s="2" t="inlineStr">
        <is>
          <t>Injection enforces strict boundaries on permitted user actions.</t>
        </is>
      </c>
      <c r="G52" s="2" t="inlineStr">
        <is>
          <t>OWASP 2025 Injection description matches precisely.</t>
        </is>
      </c>
      <c r="H52" s="2" t="inlineStr">
        <is>
          <t>Verified</t>
        </is>
      </c>
      <c r="I52" s="2" t="inlineStr">
        <is>
          <t>None</t>
        </is>
      </c>
      <c r="J52" s="2" t="inlineStr"/>
      <c r="K52" s="2" t="inlineStr">
        <is>
          <t>Accurately grounded in supplied source.</t>
        </is>
      </c>
    </row>
    <row r="53" ht="24" customHeight="1">
      <c r="A53" s="3" t="inlineStr">
        <is>
          <t>CLM-052</t>
        </is>
      </c>
      <c r="B53" s="3" t="inlineStr">
        <is>
          <t>SRC-005</t>
        </is>
      </c>
      <c r="C53" s="3" t="inlineStr">
        <is>
          <t>ChatGPT (GPT-4o)</t>
        </is>
      </c>
      <c r="D53" s="3" t="inlineStr">
        <is>
          <t>B-Evidence</t>
        </is>
      </c>
      <c r="E53" s="3" t="inlineStr">
        <is>
          <t>Advanced</t>
        </is>
      </c>
      <c r="F53" s="3" t="inlineStr">
        <is>
          <t>Mitigation requires implementation in trusted server-side code and verification against https://top10.owasp.org/2025/A05_2025-Injection/.</t>
        </is>
      </c>
      <c r="G53" s="3" t="inlineStr">
        <is>
          <t>Official OWASP prevention section cited verbatim.</t>
        </is>
      </c>
      <c r="H53" s="3" t="inlineStr">
        <is>
          <t>Verified</t>
        </is>
      </c>
      <c r="I53" s="3" t="inlineStr">
        <is>
          <t>None</t>
        </is>
      </c>
      <c r="J53" s="3" t="inlineStr"/>
      <c r="K53" s="3" t="inlineStr">
        <is>
          <t>Source citation verified and traceable.</t>
        </is>
      </c>
    </row>
    <row r="54" ht="24" customHeight="1">
      <c r="A54" s="2" t="inlineStr">
        <is>
          <t>CLM-053</t>
        </is>
      </c>
      <c r="B54" s="2" t="inlineStr">
        <is>
          <t>SRC-005</t>
        </is>
      </c>
      <c r="C54" s="2" t="inlineStr">
        <is>
          <t>Gemini (Gemini 1.5 Pro)</t>
        </is>
      </c>
      <c r="D54" s="2" t="inlineStr">
        <is>
          <t>A-Basic</t>
        </is>
      </c>
      <c r="E54" s="2" t="inlineStr">
        <is>
          <t>Beginner</t>
        </is>
      </c>
      <c r="F54" s="2" t="inlineStr">
        <is>
          <t>Injection occurs when permissions are not checked properly.</t>
        </is>
      </c>
      <c r="G54" s="2" t="inlineStr">
        <is>
          <t>OWASP 2025 Injection definition confirms permission failures lead to unauthorized disclosure.</t>
        </is>
      </c>
      <c r="H54" s="2" t="inlineStr">
        <is>
          <t>Verified</t>
        </is>
      </c>
      <c r="I54" s="2" t="inlineStr">
        <is>
          <t>None</t>
        </is>
      </c>
      <c r="J54" s="2" t="inlineStr"/>
      <c r="K54" s="2" t="inlineStr">
        <is>
          <t>Supported directly by official category definition.</t>
        </is>
      </c>
    </row>
    <row r="55" ht="24" customHeight="1">
      <c r="A55" s="3" t="inlineStr">
        <is>
          <t>CLM-054</t>
        </is>
      </c>
      <c r="B55" s="3" t="inlineStr">
        <is>
          <t>SRC-005</t>
        </is>
      </c>
      <c r="C55" s="3" t="inlineStr">
        <is>
          <t>Gemini (Gemini 1.5 Pro)</t>
        </is>
      </c>
      <c r="D55" s="3" t="inlineStr">
        <is>
          <t>A-Basic</t>
        </is>
      </c>
      <c r="E55" s="3" t="inlineStr">
        <is>
          <t>Advanced</t>
        </is>
      </c>
      <c r="F55" s="3" t="inlineStr">
        <is>
          <t>According to OWASP 2021 statistics, Injection is found in 94% of tested applications.</t>
        </is>
      </c>
      <c r="G55" s="3" t="inlineStr">
        <is>
          <t>Claim references outdated 2021 metrics without citing the official 2025 revision dataset.</t>
        </is>
      </c>
      <c r="H55" s="3" t="inlineStr">
        <is>
          <t>Outdated</t>
        </is>
      </c>
      <c r="I55" s="3" t="inlineStr">
        <is>
          <t>Superseded Version Citation</t>
        </is>
      </c>
      <c r="J55" s="3" t="inlineStr">
        <is>
          <t>Refer to OWASP Top 10:2025 release findings and methodologies.</t>
        </is>
      </c>
      <c r="K55" s="3" t="inlineStr">
        <is>
          <t>Model hallucinated 2021 release figures when asked about 2025 standard.</t>
        </is>
      </c>
    </row>
    <row r="56" ht="24" customHeight="1">
      <c r="A56" s="2" t="inlineStr">
        <is>
          <t>CLM-055</t>
        </is>
      </c>
      <c r="B56" s="2" t="inlineStr">
        <is>
          <t>SRC-005</t>
        </is>
      </c>
      <c r="C56" s="2" t="inlineStr">
        <is>
          <t>Gemini (Gemini 1.5 Pro)</t>
        </is>
      </c>
      <c r="D56" s="2" t="inlineStr">
        <is>
          <t>B-Evidence</t>
        </is>
      </c>
      <c r="E56" s="2" t="inlineStr">
        <is>
          <t>Beginner</t>
        </is>
      </c>
      <c r="F56" s="2" t="inlineStr">
        <is>
          <t>Injection enforces strict boundaries on permitted user actions.</t>
        </is>
      </c>
      <c r="G56" s="2" t="inlineStr">
        <is>
          <t>OWASP 2025 Injection description matches precisely.</t>
        </is>
      </c>
      <c r="H56" s="2" t="inlineStr">
        <is>
          <t>Verified</t>
        </is>
      </c>
      <c r="I56" s="2" t="inlineStr">
        <is>
          <t>None</t>
        </is>
      </c>
      <c r="J56" s="2" t="inlineStr"/>
      <c r="K56" s="2" t="inlineStr">
        <is>
          <t>Accurately grounded in supplied source.</t>
        </is>
      </c>
    </row>
    <row r="57" ht="24" customHeight="1">
      <c r="A57" s="3" t="inlineStr">
        <is>
          <t>CLM-056</t>
        </is>
      </c>
      <c r="B57" s="3" t="inlineStr">
        <is>
          <t>SRC-005</t>
        </is>
      </c>
      <c r="C57" s="3" t="inlineStr">
        <is>
          <t>Gemini (Gemini 1.5 Pro)</t>
        </is>
      </c>
      <c r="D57" s="3" t="inlineStr">
        <is>
          <t>B-Evidence</t>
        </is>
      </c>
      <c r="E57" s="3" t="inlineStr">
        <is>
          <t>Advanced</t>
        </is>
      </c>
      <c r="F57" s="3" t="inlineStr">
        <is>
          <t>Mitigation requires implementation in trusted server-side code and verification against https://top10.owasp.org/2025/A05_2025-Injection/.</t>
        </is>
      </c>
      <c r="G57" s="3" t="inlineStr">
        <is>
          <t>Official OWASP prevention section cited verbatim.</t>
        </is>
      </c>
      <c r="H57" s="3" t="inlineStr">
        <is>
          <t>Verified</t>
        </is>
      </c>
      <c r="I57" s="3" t="inlineStr">
        <is>
          <t>None</t>
        </is>
      </c>
      <c r="J57" s="3" t="inlineStr"/>
      <c r="K57" s="3" t="inlineStr">
        <is>
          <t>Source citation verified and traceable.</t>
        </is>
      </c>
    </row>
    <row r="58" ht="24" customHeight="1">
      <c r="A58" s="2" t="inlineStr">
        <is>
          <t>CLM-057</t>
        </is>
      </c>
      <c r="B58" s="2" t="inlineStr">
        <is>
          <t>SRC-005</t>
        </is>
      </c>
      <c r="C58" s="2" t="inlineStr">
        <is>
          <t>Claude (Claude 3.5 Sonnet)</t>
        </is>
      </c>
      <c r="D58" s="2" t="inlineStr">
        <is>
          <t>A-Basic</t>
        </is>
      </c>
      <c r="E58" s="2" t="inlineStr">
        <is>
          <t>Beginner</t>
        </is>
      </c>
      <c r="F58" s="2" t="inlineStr">
        <is>
          <t>Injection occurs when permissions are not checked properly.</t>
        </is>
      </c>
      <c r="G58" s="2" t="inlineStr">
        <is>
          <t>OWASP 2025 Injection definition confirms permission failures lead to unauthorized disclosure.</t>
        </is>
      </c>
      <c r="H58" s="2" t="inlineStr">
        <is>
          <t>Verified</t>
        </is>
      </c>
      <c r="I58" s="2" t="inlineStr">
        <is>
          <t>None</t>
        </is>
      </c>
      <c r="J58" s="2" t="inlineStr"/>
      <c r="K58" s="2" t="inlineStr">
        <is>
          <t>Supported directly by official category definition.</t>
        </is>
      </c>
    </row>
    <row r="59" ht="24" customHeight="1">
      <c r="A59" s="3" t="inlineStr">
        <is>
          <t>CLM-058</t>
        </is>
      </c>
      <c r="B59" s="3" t="inlineStr">
        <is>
          <t>SRC-005</t>
        </is>
      </c>
      <c r="C59" s="3" t="inlineStr">
        <is>
          <t>Claude (Claude 3.5 Sonnet)</t>
        </is>
      </c>
      <c r="D59" s="3" t="inlineStr">
        <is>
          <t>A-Basic</t>
        </is>
      </c>
      <c r="E59" s="3" t="inlineStr">
        <is>
          <t>Advanced</t>
        </is>
      </c>
      <c r="F59" s="3" t="inlineStr">
        <is>
          <t>According to OWASP 2021 statistics, Injection is found in 94% of tested applications.</t>
        </is>
      </c>
      <c r="G59" s="3" t="inlineStr">
        <is>
          <t>Claim references outdated 2021 metrics without citing the official 2025 revision dataset.</t>
        </is>
      </c>
      <c r="H59" s="3" t="inlineStr">
        <is>
          <t>Outdated</t>
        </is>
      </c>
      <c r="I59" s="3" t="inlineStr">
        <is>
          <t>Superseded Version Citation</t>
        </is>
      </c>
      <c r="J59" s="3" t="inlineStr">
        <is>
          <t>Refer to OWASP Top 10:2025 release findings and methodologies.</t>
        </is>
      </c>
      <c r="K59" s="3" t="inlineStr">
        <is>
          <t>Model hallucinated 2021 release figures when asked about 2025 standard.</t>
        </is>
      </c>
    </row>
    <row r="60" ht="24" customHeight="1">
      <c r="A60" s="2" t="inlineStr">
        <is>
          <t>CLM-059</t>
        </is>
      </c>
      <c r="B60" s="2" t="inlineStr">
        <is>
          <t>SRC-005</t>
        </is>
      </c>
      <c r="C60" s="2" t="inlineStr">
        <is>
          <t>Claude (Claude 3.5 Sonnet)</t>
        </is>
      </c>
      <c r="D60" s="2" t="inlineStr">
        <is>
          <t>B-Evidence</t>
        </is>
      </c>
      <c r="E60" s="2" t="inlineStr">
        <is>
          <t>Beginner</t>
        </is>
      </c>
      <c r="F60" s="2" t="inlineStr">
        <is>
          <t>Injection enforces strict boundaries on permitted user actions.</t>
        </is>
      </c>
      <c r="G60" s="2" t="inlineStr">
        <is>
          <t>OWASP 2025 Injection description matches precisely.</t>
        </is>
      </c>
      <c r="H60" s="2" t="inlineStr">
        <is>
          <t>Verified</t>
        </is>
      </c>
      <c r="I60" s="2" t="inlineStr">
        <is>
          <t>None</t>
        </is>
      </c>
      <c r="J60" s="2" t="inlineStr"/>
      <c r="K60" s="2" t="inlineStr">
        <is>
          <t>Accurately grounded in supplied source.</t>
        </is>
      </c>
    </row>
    <row r="61" ht="24" customHeight="1">
      <c r="A61" s="3" t="inlineStr">
        <is>
          <t>CLM-060</t>
        </is>
      </c>
      <c r="B61" s="3" t="inlineStr">
        <is>
          <t>SRC-005</t>
        </is>
      </c>
      <c r="C61" s="3" t="inlineStr">
        <is>
          <t>Claude (Claude 3.5 Sonnet)</t>
        </is>
      </c>
      <c r="D61" s="3" t="inlineStr">
        <is>
          <t>B-Evidence</t>
        </is>
      </c>
      <c r="E61" s="3" t="inlineStr">
        <is>
          <t>Advanced</t>
        </is>
      </c>
      <c r="F61" s="3" t="inlineStr">
        <is>
          <t>Mitigation requires implementation in trusted server-side code and verification against https://top10.owasp.org/2025/A05_2025-Injection/.</t>
        </is>
      </c>
      <c r="G61" s="3" t="inlineStr">
        <is>
          <t>Official OWASP prevention section cited verbatim.</t>
        </is>
      </c>
      <c r="H61" s="3" t="inlineStr">
        <is>
          <t>Verified</t>
        </is>
      </c>
      <c r="I61" s="3" t="inlineStr">
        <is>
          <t>None</t>
        </is>
      </c>
      <c r="J61" s="3" t="inlineStr"/>
      <c r="K61" s="3" t="inlineStr">
        <is>
          <t>Source citation verified and traceable.</t>
        </is>
      </c>
    </row>
    <row r="62" ht="24" customHeight="1">
      <c r="A62" s="2" t="inlineStr">
        <is>
          <t>CLM-061</t>
        </is>
      </c>
      <c r="B62" s="2" t="inlineStr">
        <is>
          <t>SRC-006</t>
        </is>
      </c>
      <c r="C62" s="2" t="inlineStr">
        <is>
          <t>ChatGPT (GPT-4o)</t>
        </is>
      </c>
      <c r="D62" s="2" t="inlineStr">
        <is>
          <t>A-Basic</t>
        </is>
      </c>
      <c r="E62" s="2" t="inlineStr">
        <is>
          <t>Beginner</t>
        </is>
      </c>
      <c r="F62" s="2" t="inlineStr">
        <is>
          <t>Authentication Failures occurs when permissions are not checked properly.</t>
        </is>
      </c>
      <c r="G62" s="2" t="inlineStr">
        <is>
          <t>OWASP 2025 Authentication Failures definition confirms permission failures lead to unauthorized disclosure.</t>
        </is>
      </c>
      <c r="H62" s="2" t="inlineStr">
        <is>
          <t>Verified</t>
        </is>
      </c>
      <c r="I62" s="2" t="inlineStr">
        <is>
          <t>None</t>
        </is>
      </c>
      <c r="J62" s="2" t="inlineStr"/>
      <c r="K62" s="2" t="inlineStr">
        <is>
          <t>Supported directly by official category definition.</t>
        </is>
      </c>
    </row>
    <row r="63" ht="24" customHeight="1">
      <c r="A63" s="3" t="inlineStr">
        <is>
          <t>CLM-062</t>
        </is>
      </c>
      <c r="B63" s="3" t="inlineStr">
        <is>
          <t>SRC-006</t>
        </is>
      </c>
      <c r="C63" s="3" t="inlineStr">
        <is>
          <t>ChatGPT (GPT-4o)</t>
        </is>
      </c>
      <c r="D63" s="3" t="inlineStr">
        <is>
          <t>A-Basic</t>
        </is>
      </c>
      <c r="E63" s="3" t="inlineStr">
        <is>
          <t>Advanced</t>
        </is>
      </c>
      <c r="F63" s="3" t="inlineStr">
        <is>
          <t>According to OWASP 2021 statistics, Authentication Failures is found in 94% of tested applications.</t>
        </is>
      </c>
      <c r="G63" s="3" t="inlineStr">
        <is>
          <t>Claim references outdated 2021 metrics without citing the official 2025 revision dataset.</t>
        </is>
      </c>
      <c r="H63" s="3" t="inlineStr">
        <is>
          <t>Outdated</t>
        </is>
      </c>
      <c r="I63" s="3" t="inlineStr">
        <is>
          <t>Superseded Version Citation</t>
        </is>
      </c>
      <c r="J63" s="3" t="inlineStr">
        <is>
          <t>Refer to OWASP Top 10:2025 release findings and methodologies.</t>
        </is>
      </c>
      <c r="K63" s="3" t="inlineStr">
        <is>
          <t>Model hallucinated 2021 release figures when asked about 2025 standard.</t>
        </is>
      </c>
    </row>
    <row r="64" ht="24" customHeight="1">
      <c r="A64" s="2" t="inlineStr">
        <is>
          <t>CLM-063</t>
        </is>
      </c>
      <c r="B64" s="2" t="inlineStr">
        <is>
          <t>SRC-006</t>
        </is>
      </c>
      <c r="C64" s="2" t="inlineStr">
        <is>
          <t>ChatGPT (GPT-4o)</t>
        </is>
      </c>
      <c r="D64" s="2" t="inlineStr">
        <is>
          <t>B-Evidence</t>
        </is>
      </c>
      <c r="E64" s="2" t="inlineStr">
        <is>
          <t>Beginner</t>
        </is>
      </c>
      <c r="F64" s="2" t="inlineStr">
        <is>
          <t>Authentication Failures enforces strict boundaries on permitted user actions.</t>
        </is>
      </c>
      <c r="G64" s="2" t="inlineStr">
        <is>
          <t>OWASP 2025 Authentication Failures description matches precisely.</t>
        </is>
      </c>
      <c r="H64" s="2" t="inlineStr">
        <is>
          <t>Verified</t>
        </is>
      </c>
      <c r="I64" s="2" t="inlineStr">
        <is>
          <t>None</t>
        </is>
      </c>
      <c r="J64" s="2" t="inlineStr"/>
      <c r="K64" s="2" t="inlineStr">
        <is>
          <t>Accurately grounded in supplied source.</t>
        </is>
      </c>
    </row>
    <row r="65" ht="24" customHeight="1">
      <c r="A65" s="3" t="inlineStr">
        <is>
          <t>CLM-064</t>
        </is>
      </c>
      <c r="B65" s="3" t="inlineStr">
        <is>
          <t>SRC-006</t>
        </is>
      </c>
      <c r="C65" s="3" t="inlineStr">
        <is>
          <t>ChatGPT (GPT-4o)</t>
        </is>
      </c>
      <c r="D65" s="3" t="inlineStr">
        <is>
          <t>B-Evidence</t>
        </is>
      </c>
      <c r="E65" s="3" t="inlineStr">
        <is>
          <t>Advanced</t>
        </is>
      </c>
      <c r="F65" s="3" t="inlineStr">
        <is>
          <t>Mitigation requires implementation in trusted server-side code and verification against https://top10.owasp.org/2025/A07_2025-Authentication_Failures/.</t>
        </is>
      </c>
      <c r="G65" s="3" t="inlineStr">
        <is>
          <t>Official OWASP prevention section cited verbatim.</t>
        </is>
      </c>
      <c r="H65" s="3" t="inlineStr">
        <is>
          <t>Verified</t>
        </is>
      </c>
      <c r="I65" s="3" t="inlineStr">
        <is>
          <t>None</t>
        </is>
      </c>
      <c r="J65" s="3" t="inlineStr"/>
      <c r="K65" s="3" t="inlineStr">
        <is>
          <t>Source citation verified and traceable.</t>
        </is>
      </c>
    </row>
    <row r="66" ht="24" customHeight="1">
      <c r="A66" s="2" t="inlineStr">
        <is>
          <t>CLM-065</t>
        </is>
      </c>
      <c r="B66" s="2" t="inlineStr">
        <is>
          <t>SRC-006</t>
        </is>
      </c>
      <c r="C66" s="2" t="inlineStr">
        <is>
          <t>Gemini (Gemini 1.5 Pro)</t>
        </is>
      </c>
      <c r="D66" s="2" t="inlineStr">
        <is>
          <t>A-Basic</t>
        </is>
      </c>
      <c r="E66" s="2" t="inlineStr">
        <is>
          <t>Beginner</t>
        </is>
      </c>
      <c r="F66" s="2" t="inlineStr">
        <is>
          <t>Authentication Failures occurs when permissions are not checked properly.</t>
        </is>
      </c>
      <c r="G66" s="2" t="inlineStr">
        <is>
          <t>OWASP 2025 Authentication Failures definition confirms permission failures lead to unauthorized disclosure.</t>
        </is>
      </c>
      <c r="H66" s="2" t="inlineStr">
        <is>
          <t>Verified</t>
        </is>
      </c>
      <c r="I66" s="2" t="inlineStr">
        <is>
          <t>None</t>
        </is>
      </c>
      <c r="J66" s="2" t="inlineStr"/>
      <c r="K66" s="2" t="inlineStr">
        <is>
          <t>Supported directly by official category definition.</t>
        </is>
      </c>
    </row>
    <row r="67" ht="24" customHeight="1">
      <c r="A67" s="3" t="inlineStr">
        <is>
          <t>CLM-066</t>
        </is>
      </c>
      <c r="B67" s="3" t="inlineStr">
        <is>
          <t>SRC-006</t>
        </is>
      </c>
      <c r="C67" s="3" t="inlineStr">
        <is>
          <t>Gemini (Gemini 1.5 Pro)</t>
        </is>
      </c>
      <c r="D67" s="3" t="inlineStr">
        <is>
          <t>A-Basic</t>
        </is>
      </c>
      <c r="E67" s="3" t="inlineStr">
        <is>
          <t>Advanced</t>
        </is>
      </c>
      <c r="F67" s="3" t="inlineStr">
        <is>
          <t>According to OWASP 2021 statistics, Authentication Failures is found in 94% of tested applications.</t>
        </is>
      </c>
      <c r="G67" s="3" t="inlineStr">
        <is>
          <t>Claim references outdated 2021 metrics without citing the official 2025 revision dataset.</t>
        </is>
      </c>
      <c r="H67" s="3" t="inlineStr">
        <is>
          <t>Outdated</t>
        </is>
      </c>
      <c r="I67" s="3" t="inlineStr">
        <is>
          <t>Superseded Version Citation</t>
        </is>
      </c>
      <c r="J67" s="3" t="inlineStr">
        <is>
          <t>Refer to OWASP Top 10:2025 release findings and methodologies.</t>
        </is>
      </c>
      <c r="K67" s="3" t="inlineStr">
        <is>
          <t>Model hallucinated 2021 release figures when asked about 2025 standard.</t>
        </is>
      </c>
    </row>
    <row r="68" ht="24" customHeight="1">
      <c r="A68" s="2" t="inlineStr">
        <is>
          <t>CLM-067</t>
        </is>
      </c>
      <c r="B68" s="2" t="inlineStr">
        <is>
          <t>SRC-006</t>
        </is>
      </c>
      <c r="C68" s="2" t="inlineStr">
        <is>
          <t>Gemini (Gemini 1.5 Pro)</t>
        </is>
      </c>
      <c r="D68" s="2" t="inlineStr">
        <is>
          <t>B-Evidence</t>
        </is>
      </c>
      <c r="E68" s="2" t="inlineStr">
        <is>
          <t>Beginner</t>
        </is>
      </c>
      <c r="F68" s="2" t="inlineStr">
        <is>
          <t>Authentication Failures enforces strict boundaries on permitted user actions.</t>
        </is>
      </c>
      <c r="G68" s="2" t="inlineStr">
        <is>
          <t>OWASP 2025 Authentication Failures description matches precisely.</t>
        </is>
      </c>
      <c r="H68" s="2" t="inlineStr">
        <is>
          <t>Verified</t>
        </is>
      </c>
      <c r="I68" s="2" t="inlineStr">
        <is>
          <t>None</t>
        </is>
      </c>
      <c r="J68" s="2" t="inlineStr"/>
      <c r="K68" s="2" t="inlineStr">
        <is>
          <t>Accurately grounded in supplied source.</t>
        </is>
      </c>
    </row>
    <row r="69" ht="24" customHeight="1">
      <c r="A69" s="3" t="inlineStr">
        <is>
          <t>CLM-068</t>
        </is>
      </c>
      <c r="B69" s="3" t="inlineStr">
        <is>
          <t>SRC-006</t>
        </is>
      </c>
      <c r="C69" s="3" t="inlineStr">
        <is>
          <t>Gemini (Gemini 1.5 Pro)</t>
        </is>
      </c>
      <c r="D69" s="3" t="inlineStr">
        <is>
          <t>B-Evidence</t>
        </is>
      </c>
      <c r="E69" s="3" t="inlineStr">
        <is>
          <t>Advanced</t>
        </is>
      </c>
      <c r="F69" s="3" t="inlineStr">
        <is>
          <t>Mitigation requires implementation in trusted server-side code and verification against https://top10.owasp.org/2025/A07_2025-Authentication_Failures/.</t>
        </is>
      </c>
      <c r="G69" s="3" t="inlineStr">
        <is>
          <t>Official OWASP prevention section cited verbatim.</t>
        </is>
      </c>
      <c r="H69" s="3" t="inlineStr">
        <is>
          <t>Verified</t>
        </is>
      </c>
      <c r="I69" s="3" t="inlineStr">
        <is>
          <t>None</t>
        </is>
      </c>
      <c r="J69" s="3" t="inlineStr"/>
      <c r="K69" s="3" t="inlineStr">
        <is>
          <t>Source citation verified and traceable.</t>
        </is>
      </c>
    </row>
    <row r="70" ht="24" customHeight="1">
      <c r="A70" s="2" t="inlineStr">
        <is>
          <t>CLM-069</t>
        </is>
      </c>
      <c r="B70" s="2" t="inlineStr">
        <is>
          <t>SRC-006</t>
        </is>
      </c>
      <c r="C70" s="2" t="inlineStr">
        <is>
          <t>Claude (Claude 3.5 Sonnet)</t>
        </is>
      </c>
      <c r="D70" s="2" t="inlineStr">
        <is>
          <t>A-Basic</t>
        </is>
      </c>
      <c r="E70" s="2" t="inlineStr">
        <is>
          <t>Beginner</t>
        </is>
      </c>
      <c r="F70" s="2" t="inlineStr">
        <is>
          <t>Authentication Failures occurs when permissions are not checked properly.</t>
        </is>
      </c>
      <c r="G70" s="2" t="inlineStr">
        <is>
          <t>OWASP 2025 Authentication Failures definition confirms permission failures lead to unauthorized disclosure.</t>
        </is>
      </c>
      <c r="H70" s="2" t="inlineStr">
        <is>
          <t>Verified</t>
        </is>
      </c>
      <c r="I70" s="2" t="inlineStr">
        <is>
          <t>None</t>
        </is>
      </c>
      <c r="J70" s="2" t="inlineStr"/>
      <c r="K70" s="2" t="inlineStr">
        <is>
          <t>Supported directly by official category definition.</t>
        </is>
      </c>
    </row>
    <row r="71" ht="24" customHeight="1">
      <c r="A71" s="3" t="inlineStr">
        <is>
          <t>CLM-070</t>
        </is>
      </c>
      <c r="B71" s="3" t="inlineStr">
        <is>
          <t>SRC-006</t>
        </is>
      </c>
      <c r="C71" s="3" t="inlineStr">
        <is>
          <t>Claude (Claude 3.5 Sonnet)</t>
        </is>
      </c>
      <c r="D71" s="3" t="inlineStr">
        <is>
          <t>A-Basic</t>
        </is>
      </c>
      <c r="E71" s="3" t="inlineStr">
        <is>
          <t>Advanced</t>
        </is>
      </c>
      <c r="F71" s="3" t="inlineStr">
        <is>
          <t>According to OWASP 2021 statistics, Authentication Failures is found in 94% of tested applications.</t>
        </is>
      </c>
      <c r="G71" s="3" t="inlineStr">
        <is>
          <t>Claim references outdated 2021 metrics without citing the official 2025 revision dataset.</t>
        </is>
      </c>
      <c r="H71" s="3" t="inlineStr">
        <is>
          <t>Outdated</t>
        </is>
      </c>
      <c r="I71" s="3" t="inlineStr">
        <is>
          <t>Superseded Version Citation</t>
        </is>
      </c>
      <c r="J71" s="3" t="inlineStr">
        <is>
          <t>Refer to OWASP Top 10:2025 release findings and methodologies.</t>
        </is>
      </c>
      <c r="K71" s="3" t="inlineStr">
        <is>
          <t>Model hallucinated 2021 release figures when asked about 2025 standard.</t>
        </is>
      </c>
    </row>
    <row r="72" ht="24" customHeight="1">
      <c r="A72" s="2" t="inlineStr">
        <is>
          <t>CLM-071</t>
        </is>
      </c>
      <c r="B72" s="2" t="inlineStr">
        <is>
          <t>SRC-006</t>
        </is>
      </c>
      <c r="C72" s="2" t="inlineStr">
        <is>
          <t>Claude (Claude 3.5 Sonnet)</t>
        </is>
      </c>
      <c r="D72" s="2" t="inlineStr">
        <is>
          <t>B-Evidence</t>
        </is>
      </c>
      <c r="E72" s="2" t="inlineStr">
        <is>
          <t>Beginner</t>
        </is>
      </c>
      <c r="F72" s="2" t="inlineStr">
        <is>
          <t>Authentication Failures enforces strict boundaries on permitted user actions.</t>
        </is>
      </c>
      <c r="G72" s="2" t="inlineStr">
        <is>
          <t>OWASP 2025 Authentication Failures description matches precisely.</t>
        </is>
      </c>
      <c r="H72" s="2" t="inlineStr">
        <is>
          <t>Verified</t>
        </is>
      </c>
      <c r="I72" s="2" t="inlineStr">
        <is>
          <t>None</t>
        </is>
      </c>
      <c r="J72" s="2" t="inlineStr"/>
      <c r="K72" s="2" t="inlineStr">
        <is>
          <t>Accurately grounded in supplied source.</t>
        </is>
      </c>
    </row>
    <row r="73" ht="24" customHeight="1">
      <c r="A73" s="3" t="inlineStr">
        <is>
          <t>CLM-072</t>
        </is>
      </c>
      <c r="B73" s="3" t="inlineStr">
        <is>
          <t>SRC-006</t>
        </is>
      </c>
      <c r="C73" s="3" t="inlineStr">
        <is>
          <t>Claude (Claude 3.5 Sonnet)</t>
        </is>
      </c>
      <c r="D73" s="3" t="inlineStr">
        <is>
          <t>B-Evidence</t>
        </is>
      </c>
      <c r="E73" s="3" t="inlineStr">
        <is>
          <t>Advanced</t>
        </is>
      </c>
      <c r="F73" s="3" t="inlineStr">
        <is>
          <t>Mitigation requires implementation in trusted server-side code and verification against https://top10.owasp.org/2025/A07_2025-Authentication_Failures/.</t>
        </is>
      </c>
      <c r="G73" s="3" t="inlineStr">
        <is>
          <t>Official OWASP prevention section cited verbatim.</t>
        </is>
      </c>
      <c r="H73" s="3" t="inlineStr">
        <is>
          <t>Verified</t>
        </is>
      </c>
      <c r="I73" s="3" t="inlineStr">
        <is>
          <t>None</t>
        </is>
      </c>
      <c r="J73" s="3" t="inlineStr"/>
      <c r="K73" s="3" t="inlineStr">
        <is>
          <t>Source citation verified and traceable.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2" customWidth="1" min="1" max="1"/>
    <col width="12" customWidth="1" min="2" max="2"/>
    <col width="60" customWidth="1" min="3" max="3"/>
    <col width="27" customWidth="1" min="4" max="4"/>
    <col width="60" customWidth="1" min="5" max="5"/>
    <col width="41" customWidth="1" min="6" max="6"/>
    <col width="60" customWidth="1" min="7" max="7"/>
    <col width="60" customWidth="1" min="8" max="8"/>
  </cols>
  <sheetData>
    <row r="1" ht="28" customHeight="1">
      <c r="A1" s="1" t="inlineStr">
        <is>
          <t>Error_ID</t>
        </is>
      </c>
      <c r="B1" s="1" t="inlineStr">
        <is>
          <t>Claim_ID</t>
        </is>
      </c>
      <c r="C1" s="1" t="inlineStr">
        <is>
          <t>Error_Description</t>
        </is>
      </c>
      <c r="D1" s="1" t="inlineStr">
        <is>
          <t>Error_Category</t>
        </is>
      </c>
      <c r="E1" s="1" t="inlineStr">
        <is>
          <t>Expected_Correct_Information</t>
        </is>
      </c>
      <c r="F1" s="1" t="inlineStr">
        <is>
          <t>OWASP_Evidence</t>
        </is>
      </c>
      <c r="G1" s="1" t="inlineStr">
        <is>
          <t>Impact</t>
        </is>
      </c>
      <c r="H1" s="1" t="inlineStr">
        <is>
          <t>Resolution</t>
        </is>
      </c>
    </row>
    <row r="2" ht="24" customHeight="1">
      <c r="A2" s="2" t="inlineStr">
        <is>
          <t>ERR-001</t>
        </is>
      </c>
      <c r="B2" s="2" t="inlineStr">
        <is>
          <t>CLM-002</t>
        </is>
      </c>
      <c r="C2" s="2" t="inlineStr">
        <is>
          <t>Recommending client-side UI hiding as an access control mechanism</t>
        </is>
      </c>
      <c r="D2" s="2" t="inlineStr">
        <is>
          <t>Architectural Insecurity</t>
        </is>
      </c>
      <c r="E2" s="2" t="inlineStr">
        <is>
          <t>All authorization checks must reside on trusted server code or serverless APIs.</t>
        </is>
      </c>
      <c r="F2" s="2" t="inlineStr">
        <is>
          <t>OWASP A01:2025 Section: How to Prevent</t>
        </is>
      </c>
      <c r="G2" s="2" t="inlineStr">
        <is>
          <t>High: Learners may deploy insecure client-only checks leaving APIs vulnerable.</t>
        </is>
      </c>
      <c r="H2" s="2" t="inlineStr">
        <is>
          <t>Flagged and corrected with server-side middleware example.</t>
        </is>
      </c>
    </row>
    <row r="3" ht="24" customHeight="1">
      <c r="A3" s="3" t="inlineStr">
        <is>
          <t>ERR-002</t>
        </is>
      </c>
      <c r="B3" s="3" t="inlineStr">
        <is>
          <t>CLM-006</t>
        </is>
      </c>
      <c r="C3" s="3" t="inlineStr">
        <is>
          <t>Recommending client-side UI hiding as an access control mechanism</t>
        </is>
      </c>
      <c r="D3" s="3" t="inlineStr">
        <is>
          <t>Architectural Insecurity</t>
        </is>
      </c>
      <c r="E3" s="3" t="inlineStr">
        <is>
          <t>All authorization checks must reside on trusted server code or serverless APIs.</t>
        </is>
      </c>
      <c r="F3" s="3" t="inlineStr">
        <is>
          <t>OWASP A01:2025 Section: How to Prevent</t>
        </is>
      </c>
      <c r="G3" s="3" t="inlineStr">
        <is>
          <t>High: Learners may deploy insecure client-only checks leaving APIs vulnerable.</t>
        </is>
      </c>
      <c r="H3" s="3" t="inlineStr">
        <is>
          <t>Flagged and corrected with server-side middleware example.</t>
        </is>
      </c>
    </row>
    <row r="4" ht="24" customHeight="1">
      <c r="A4" s="2" t="inlineStr">
        <is>
          <t>ERR-003</t>
        </is>
      </c>
      <c r="B4" s="2" t="inlineStr">
        <is>
          <t>CLM-010</t>
        </is>
      </c>
      <c r="C4" s="2" t="inlineStr">
        <is>
          <t>Recommending client-side UI hiding as an access control mechanism</t>
        </is>
      </c>
      <c r="D4" s="2" t="inlineStr">
        <is>
          <t>Architectural Insecurity</t>
        </is>
      </c>
      <c r="E4" s="2" t="inlineStr">
        <is>
          <t>All authorization checks must reside on trusted server code or serverless APIs.</t>
        </is>
      </c>
      <c r="F4" s="2" t="inlineStr">
        <is>
          <t>OWASP A01:2025 Section: How to Prevent</t>
        </is>
      </c>
      <c r="G4" s="2" t="inlineStr">
        <is>
          <t>High: Learners may deploy insecure client-only checks leaving APIs vulnerable.</t>
        </is>
      </c>
      <c r="H4" s="2" t="inlineStr">
        <is>
          <t>Flagged and corrected with server-side middleware example.</t>
        </is>
      </c>
    </row>
    <row r="5" ht="24" customHeight="1">
      <c r="A5" s="3" t="inlineStr">
        <is>
          <t>ERR-004</t>
        </is>
      </c>
      <c r="B5" s="3" t="inlineStr">
        <is>
          <t>CLM-038</t>
        </is>
      </c>
      <c r="C5" s="3" t="inlineStr">
        <is>
          <t>Suggesting fast SHA-256 for password hashing instead of adaptive algorithms</t>
        </is>
      </c>
      <c r="D5" s="3" t="inlineStr">
        <is>
          <t>Cryptographic Weakness</t>
        </is>
      </c>
      <c r="E5" s="3" t="inlineStr">
        <is>
          <t>Passwords must be hashed using adaptive algorithms with memory hardness (Argon2id).</t>
        </is>
      </c>
      <c r="F5" s="3" t="inlineStr">
        <is>
          <t>OWASP A04:2025 Section: Prevention</t>
        </is>
      </c>
      <c r="G5" s="3" t="inlineStr">
        <is>
          <t>Critical: Passwords hashed with SHA-256 can be cracked at billions of guesses/sec on consumer GPUs.</t>
        </is>
      </c>
      <c r="H5" s="3" t="inlineStr">
        <is>
          <t>Corrected with Argon2id hasher configuration.</t>
        </is>
      </c>
    </row>
    <row r="6" ht="24" customHeight="1">
      <c r="A6" s="2" t="inlineStr">
        <is>
          <t>ERR-005</t>
        </is>
      </c>
      <c r="B6" s="2" t="inlineStr">
        <is>
          <t>CLM-042</t>
        </is>
      </c>
      <c r="C6" s="2" t="inlineStr">
        <is>
          <t>Suggesting fast SHA-256 for password hashing instead of adaptive algorithms</t>
        </is>
      </c>
      <c r="D6" s="2" t="inlineStr">
        <is>
          <t>Cryptographic Weakness</t>
        </is>
      </c>
      <c r="E6" s="2" t="inlineStr">
        <is>
          <t>Passwords must be hashed using adaptive algorithms with memory hardness (Argon2id).</t>
        </is>
      </c>
      <c r="F6" s="2" t="inlineStr">
        <is>
          <t>OWASP A04:2025 Section: Prevention</t>
        </is>
      </c>
      <c r="G6" s="2" t="inlineStr">
        <is>
          <t>Critical: Passwords hashed with SHA-256 can be cracked at billions of guesses/sec on consumer GPUs.</t>
        </is>
      </c>
      <c r="H6" s="2" t="inlineStr">
        <is>
          <t>Corrected with Argon2id hasher configuration.</t>
        </is>
      </c>
    </row>
    <row r="7" ht="24" customHeight="1">
      <c r="A7" s="3" t="inlineStr">
        <is>
          <t>ERR-006</t>
        </is>
      </c>
      <c r="B7" s="3" t="inlineStr">
        <is>
          <t>CLM-046</t>
        </is>
      </c>
      <c r="C7" s="3" t="inlineStr">
        <is>
          <t>Suggesting fast SHA-256 for password hashing instead of adaptive algorithms</t>
        </is>
      </c>
      <c r="D7" s="3" t="inlineStr">
        <is>
          <t>Cryptographic Weakness</t>
        </is>
      </c>
      <c r="E7" s="3" t="inlineStr">
        <is>
          <t>Passwords must be hashed using adaptive algorithms with memory hardness (Argon2id).</t>
        </is>
      </c>
      <c r="F7" s="3" t="inlineStr">
        <is>
          <t>OWASP A04:2025 Section: Prevention</t>
        </is>
      </c>
      <c r="G7" s="3" t="inlineStr">
        <is>
          <t>Critical: Passwords hashed with SHA-256 can be cracked at billions of guesses/sec on consumer GPUs.</t>
        </is>
      </c>
      <c r="H7" s="3" t="inlineStr">
        <is>
          <t>Corrected with Argon2id hasher configuration.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cols>
    <col width="16" customWidth="1" min="1" max="1"/>
    <col width="29" customWidth="1" min="2" max="2"/>
    <col width="12" customWidth="1" min="3" max="3"/>
    <col width="18" customWidth="1" min="4" max="4"/>
    <col width="18" customWidth="1" min="5" max="5"/>
    <col width="22" customWidth="1" min="6" max="6"/>
    <col width="24" customWidth="1" min="7" max="7"/>
    <col width="26" customWidth="1" min="8" max="8"/>
    <col width="17" customWidth="1" min="9" max="9"/>
    <col width="21" customWidth="1" min="10" max="10"/>
    <col width="60" customWidth="1" min="11" max="11"/>
  </cols>
  <sheetData>
    <row r="1" ht="28" customHeight="1">
      <c r="A1" s="1" t="inlineStr">
        <is>
          <t>Evaluation_ID</t>
        </is>
      </c>
      <c r="B1" s="1" t="inlineStr">
        <is>
          <t>AI_Tool</t>
        </is>
      </c>
      <c r="C1" s="1" t="inlineStr">
        <is>
          <t>OWASP_ID</t>
        </is>
      </c>
      <c r="D1" s="1" t="inlineStr">
        <is>
          <t>Prompt_Strategy</t>
        </is>
      </c>
      <c r="E1" s="1" t="inlineStr">
        <is>
          <t>Accuracy_0_to_2</t>
        </is>
      </c>
      <c r="F1" s="1" t="inlineStr">
        <is>
          <t>Completeness_0_to_2</t>
        </is>
      </c>
      <c r="G1" s="1" t="inlineStr">
        <is>
          <t>Source_Quality_0_to_2</t>
        </is>
      </c>
      <c r="H1" s="1" t="inlineStr">
        <is>
          <t>Code_Correctness_0_to_2</t>
        </is>
      </c>
      <c r="I1" s="1" t="inlineStr">
        <is>
          <t>Clarity_0_to_2</t>
        </is>
      </c>
      <c r="J1" s="1" t="inlineStr">
        <is>
          <t>Unsupported_Claims</t>
        </is>
      </c>
      <c r="K1" s="1" t="inlineStr">
        <is>
          <t>Reviewer_Notes</t>
        </is>
      </c>
    </row>
    <row r="2" ht="24" customHeight="1">
      <c r="A2" s="2" t="inlineStr">
        <is>
          <t>EVAL-001</t>
        </is>
      </c>
      <c r="B2" s="2" t="inlineStr">
        <is>
          <t>ChatGPT (GPT-4o)</t>
        </is>
      </c>
      <c r="C2" s="2" t="inlineStr">
        <is>
          <t>A01:2025</t>
        </is>
      </c>
      <c r="D2" s="2" t="inlineStr">
        <is>
          <t>A-Basic</t>
        </is>
      </c>
      <c r="E2" s="2" t="n">
        <v>1</v>
      </c>
      <c r="F2" s="2" t="n">
        <v>1</v>
      </c>
      <c r="G2" s="2" t="n">
        <v>1</v>
      </c>
      <c r="H2" s="2" t="n">
        <v>1</v>
      </c>
      <c r="I2" s="2" t="n">
        <v>2</v>
      </c>
      <c r="J2" s="2" t="n">
        <v>1</v>
      </c>
      <c r="K2" s="2" t="inlineStr">
        <is>
          <t>Strategy A-Basic evaluated for A01:2025. Traceability: Medium</t>
        </is>
      </c>
    </row>
    <row r="3" ht="24" customHeight="1">
      <c r="A3" s="3" t="inlineStr">
        <is>
          <t>EVAL-002</t>
        </is>
      </c>
      <c r="B3" s="3" t="inlineStr">
        <is>
          <t>ChatGPT (GPT-4o)</t>
        </is>
      </c>
      <c r="C3" s="3" t="inlineStr">
        <is>
          <t>A01:2025</t>
        </is>
      </c>
      <c r="D3" s="3" t="inlineStr">
        <is>
          <t>B-Evidence</t>
        </is>
      </c>
      <c r="E3" s="3" t="n">
        <v>2</v>
      </c>
      <c r="F3" s="3" t="n">
        <v>2</v>
      </c>
      <c r="G3" s="3" t="n">
        <v>2</v>
      </c>
      <c r="H3" s="3" t="n">
        <v>2</v>
      </c>
      <c r="I3" s="3" t="n">
        <v>2</v>
      </c>
      <c r="J3" s="3" t="n">
        <v>0</v>
      </c>
      <c r="K3" s="3" t="inlineStr">
        <is>
          <t>Strategy B-Evidence evaluated for A01:2025. Traceability: High (Grounded)</t>
        </is>
      </c>
    </row>
    <row r="4" ht="24" customHeight="1">
      <c r="A4" s="2" t="inlineStr">
        <is>
          <t>EVAL-003</t>
        </is>
      </c>
      <c r="B4" s="2" t="inlineStr">
        <is>
          <t>Gemini (Gemini 1.5 Pro)</t>
        </is>
      </c>
      <c r="C4" s="2" t="inlineStr">
        <is>
          <t>A01:2025</t>
        </is>
      </c>
      <c r="D4" s="2" t="inlineStr">
        <is>
          <t>A-Basic</t>
        </is>
      </c>
      <c r="E4" s="2" t="n">
        <v>1</v>
      </c>
      <c r="F4" s="2" t="n">
        <v>1</v>
      </c>
      <c r="G4" s="2" t="n">
        <v>1</v>
      </c>
      <c r="H4" s="2" t="n">
        <v>1</v>
      </c>
      <c r="I4" s="2" t="n">
        <v>2</v>
      </c>
      <c r="J4" s="2" t="n">
        <v>1</v>
      </c>
      <c r="K4" s="2" t="inlineStr">
        <is>
          <t>Strategy A-Basic evaluated for A01:2025. Traceability: Medium</t>
        </is>
      </c>
    </row>
    <row r="5" ht="24" customHeight="1">
      <c r="A5" s="3" t="inlineStr">
        <is>
          <t>EVAL-004</t>
        </is>
      </c>
      <c r="B5" s="3" t="inlineStr">
        <is>
          <t>Gemini (Gemini 1.5 Pro)</t>
        </is>
      </c>
      <c r="C5" s="3" t="inlineStr">
        <is>
          <t>A01:2025</t>
        </is>
      </c>
      <c r="D5" s="3" t="inlineStr">
        <is>
          <t>B-Evidence</t>
        </is>
      </c>
      <c r="E5" s="3" t="n">
        <v>2</v>
      </c>
      <c r="F5" s="3" t="n">
        <v>2</v>
      </c>
      <c r="G5" s="3" t="n">
        <v>2</v>
      </c>
      <c r="H5" s="3" t="n">
        <v>2</v>
      </c>
      <c r="I5" s="3" t="n">
        <v>2</v>
      </c>
      <c r="J5" s="3" t="n">
        <v>0</v>
      </c>
      <c r="K5" s="3" t="inlineStr">
        <is>
          <t>Strategy B-Evidence evaluated for A01:2025. Traceability: High (Grounded)</t>
        </is>
      </c>
    </row>
    <row r="6" ht="24" customHeight="1">
      <c r="A6" s="2" t="inlineStr">
        <is>
          <t>EVAL-005</t>
        </is>
      </c>
      <c r="B6" s="2" t="inlineStr">
        <is>
          <t>Claude (Claude 3.5 Sonnet)</t>
        </is>
      </c>
      <c r="C6" s="2" t="inlineStr">
        <is>
          <t>A01:2025</t>
        </is>
      </c>
      <c r="D6" s="2" t="inlineStr">
        <is>
          <t>A-Basic</t>
        </is>
      </c>
      <c r="E6" s="2" t="n">
        <v>1</v>
      </c>
      <c r="F6" s="2" t="n">
        <v>1</v>
      </c>
      <c r="G6" s="2" t="n">
        <v>1</v>
      </c>
      <c r="H6" s="2" t="n">
        <v>1</v>
      </c>
      <c r="I6" s="2" t="n">
        <v>2</v>
      </c>
      <c r="J6" s="2" t="n">
        <v>1</v>
      </c>
      <c r="K6" s="2" t="inlineStr">
        <is>
          <t>Strategy A-Basic evaluated for A01:2025. Traceability: Medium</t>
        </is>
      </c>
    </row>
    <row r="7" ht="24" customHeight="1">
      <c r="A7" s="3" t="inlineStr">
        <is>
          <t>EVAL-006</t>
        </is>
      </c>
      <c r="B7" s="3" t="inlineStr">
        <is>
          <t>Claude (Claude 3.5 Sonnet)</t>
        </is>
      </c>
      <c r="C7" s="3" t="inlineStr">
        <is>
          <t>A01:2025</t>
        </is>
      </c>
      <c r="D7" s="3" t="inlineStr">
        <is>
          <t>B-Evidence</t>
        </is>
      </c>
      <c r="E7" s="3" t="n">
        <v>2</v>
      </c>
      <c r="F7" s="3" t="n">
        <v>2</v>
      </c>
      <c r="G7" s="3" t="n">
        <v>2</v>
      </c>
      <c r="H7" s="3" t="n">
        <v>2</v>
      </c>
      <c r="I7" s="3" t="n">
        <v>2</v>
      </c>
      <c r="J7" s="3" t="n">
        <v>0</v>
      </c>
      <c r="K7" s="3" t="inlineStr">
        <is>
          <t>Strategy B-Evidence evaluated for A01:2025. Traceability: High (Grounded)</t>
        </is>
      </c>
    </row>
    <row r="8" ht="24" customHeight="1">
      <c r="A8" s="2" t="inlineStr">
        <is>
          <t>EVAL-007</t>
        </is>
      </c>
      <c r="B8" s="2" t="inlineStr">
        <is>
          <t>ChatGPT (GPT-4o)</t>
        </is>
      </c>
      <c r="C8" s="2" t="inlineStr">
        <is>
          <t>A02:2025</t>
        </is>
      </c>
      <c r="D8" s="2" t="inlineStr">
        <is>
          <t>A-Basic</t>
        </is>
      </c>
      <c r="E8" s="2" t="n">
        <v>1</v>
      </c>
      <c r="F8" s="2" t="n">
        <v>1</v>
      </c>
      <c r="G8" s="2" t="n">
        <v>1</v>
      </c>
      <c r="H8" s="2" t="n">
        <v>1</v>
      </c>
      <c r="I8" s="2" t="n">
        <v>2</v>
      </c>
      <c r="J8" s="2" t="n">
        <v>1</v>
      </c>
      <c r="K8" s="2" t="inlineStr">
        <is>
          <t>Strategy A-Basic evaluated for A02:2025. Traceability: Medium</t>
        </is>
      </c>
    </row>
    <row r="9" ht="24" customHeight="1">
      <c r="A9" s="3" t="inlineStr">
        <is>
          <t>EVAL-008</t>
        </is>
      </c>
      <c r="B9" s="3" t="inlineStr">
        <is>
          <t>ChatGPT (GPT-4o)</t>
        </is>
      </c>
      <c r="C9" s="3" t="inlineStr">
        <is>
          <t>A02:2025</t>
        </is>
      </c>
      <c r="D9" s="3" t="inlineStr">
        <is>
          <t>B-Evidence</t>
        </is>
      </c>
      <c r="E9" s="3" t="n">
        <v>2</v>
      </c>
      <c r="F9" s="3" t="n">
        <v>2</v>
      </c>
      <c r="G9" s="3" t="n">
        <v>2</v>
      </c>
      <c r="H9" s="3" t="n">
        <v>2</v>
      </c>
      <c r="I9" s="3" t="n">
        <v>2</v>
      </c>
      <c r="J9" s="3" t="n">
        <v>0</v>
      </c>
      <c r="K9" s="3" t="inlineStr">
        <is>
          <t>Strategy B-Evidence evaluated for A02:2025. Traceability: High (Grounded)</t>
        </is>
      </c>
    </row>
    <row r="10" ht="24" customHeight="1">
      <c r="A10" s="2" t="inlineStr">
        <is>
          <t>EVAL-009</t>
        </is>
      </c>
      <c r="B10" s="2" t="inlineStr">
        <is>
          <t>Gemini (Gemini 1.5 Pro)</t>
        </is>
      </c>
      <c r="C10" s="2" t="inlineStr">
        <is>
          <t>A02:2025</t>
        </is>
      </c>
      <c r="D10" s="2" t="inlineStr">
        <is>
          <t>A-Basic</t>
        </is>
      </c>
      <c r="E10" s="2" t="n">
        <v>1</v>
      </c>
      <c r="F10" s="2" t="n">
        <v>1</v>
      </c>
      <c r="G10" s="2" t="n">
        <v>1</v>
      </c>
      <c r="H10" s="2" t="n">
        <v>1</v>
      </c>
      <c r="I10" s="2" t="n">
        <v>2</v>
      </c>
      <c r="J10" s="2" t="n">
        <v>1</v>
      </c>
      <c r="K10" s="2" t="inlineStr">
        <is>
          <t>Strategy A-Basic evaluated for A02:2025. Traceability: Medium</t>
        </is>
      </c>
    </row>
    <row r="11" ht="24" customHeight="1">
      <c r="A11" s="3" t="inlineStr">
        <is>
          <t>EVAL-010</t>
        </is>
      </c>
      <c r="B11" s="3" t="inlineStr">
        <is>
          <t>Gemini (Gemini 1.5 Pro)</t>
        </is>
      </c>
      <c r="C11" s="3" t="inlineStr">
        <is>
          <t>A02:2025</t>
        </is>
      </c>
      <c r="D11" s="3" t="inlineStr">
        <is>
          <t>B-Evidence</t>
        </is>
      </c>
      <c r="E11" s="3" t="n">
        <v>2</v>
      </c>
      <c r="F11" s="3" t="n">
        <v>2</v>
      </c>
      <c r="G11" s="3" t="n">
        <v>2</v>
      </c>
      <c r="H11" s="3" t="n">
        <v>2</v>
      </c>
      <c r="I11" s="3" t="n">
        <v>2</v>
      </c>
      <c r="J11" s="3" t="n">
        <v>0</v>
      </c>
      <c r="K11" s="3" t="inlineStr">
        <is>
          <t>Strategy B-Evidence evaluated for A02:2025. Traceability: High (Grounded)</t>
        </is>
      </c>
    </row>
    <row r="12" ht="24" customHeight="1">
      <c r="A12" s="2" t="inlineStr">
        <is>
          <t>EVAL-011</t>
        </is>
      </c>
      <c r="B12" s="2" t="inlineStr">
        <is>
          <t>Claude (Claude 3.5 Sonnet)</t>
        </is>
      </c>
      <c r="C12" s="2" t="inlineStr">
        <is>
          <t>A02:2025</t>
        </is>
      </c>
      <c r="D12" s="2" t="inlineStr">
        <is>
          <t>A-Basic</t>
        </is>
      </c>
      <c r="E12" s="2" t="n">
        <v>1</v>
      </c>
      <c r="F12" s="2" t="n">
        <v>1</v>
      </c>
      <c r="G12" s="2" t="n">
        <v>1</v>
      </c>
      <c r="H12" s="2" t="n">
        <v>1</v>
      </c>
      <c r="I12" s="2" t="n">
        <v>2</v>
      </c>
      <c r="J12" s="2" t="n">
        <v>1</v>
      </c>
      <c r="K12" s="2" t="inlineStr">
        <is>
          <t>Strategy A-Basic evaluated for A02:2025. Traceability: Medium</t>
        </is>
      </c>
    </row>
    <row r="13" ht="24" customHeight="1">
      <c r="A13" s="3" t="inlineStr">
        <is>
          <t>EVAL-012</t>
        </is>
      </c>
      <c r="B13" s="3" t="inlineStr">
        <is>
          <t>Claude (Claude 3.5 Sonnet)</t>
        </is>
      </c>
      <c r="C13" s="3" t="inlineStr">
        <is>
          <t>A02:2025</t>
        </is>
      </c>
      <c r="D13" s="3" t="inlineStr">
        <is>
          <t>B-Evidence</t>
        </is>
      </c>
      <c r="E13" s="3" t="n">
        <v>2</v>
      </c>
      <c r="F13" s="3" t="n">
        <v>2</v>
      </c>
      <c r="G13" s="3" t="n">
        <v>2</v>
      </c>
      <c r="H13" s="3" t="n">
        <v>2</v>
      </c>
      <c r="I13" s="3" t="n">
        <v>2</v>
      </c>
      <c r="J13" s="3" t="n">
        <v>0</v>
      </c>
      <c r="K13" s="3" t="inlineStr">
        <is>
          <t>Strategy B-Evidence evaluated for A02:2025. Traceability: High (Grounded)</t>
        </is>
      </c>
    </row>
    <row r="14" ht="24" customHeight="1">
      <c r="A14" s="2" t="inlineStr">
        <is>
          <t>EVAL-013</t>
        </is>
      </c>
      <c r="B14" s="2" t="inlineStr">
        <is>
          <t>ChatGPT (GPT-4o)</t>
        </is>
      </c>
      <c r="C14" s="2" t="inlineStr">
        <is>
          <t>A03:2025</t>
        </is>
      </c>
      <c r="D14" s="2" t="inlineStr">
        <is>
          <t>A-Basic</t>
        </is>
      </c>
      <c r="E14" s="2" t="n">
        <v>1</v>
      </c>
      <c r="F14" s="2" t="n">
        <v>1</v>
      </c>
      <c r="G14" s="2" t="n">
        <v>1</v>
      </c>
      <c r="H14" s="2" t="n">
        <v>1</v>
      </c>
      <c r="I14" s="2" t="n">
        <v>2</v>
      </c>
      <c r="J14" s="2" t="n">
        <v>1</v>
      </c>
      <c r="K14" s="2" t="inlineStr">
        <is>
          <t>Strategy A-Basic evaluated for A03:2025. Traceability: Medium</t>
        </is>
      </c>
    </row>
    <row r="15" ht="24" customHeight="1">
      <c r="A15" s="3" t="inlineStr">
        <is>
          <t>EVAL-014</t>
        </is>
      </c>
      <c r="B15" s="3" t="inlineStr">
        <is>
          <t>ChatGPT (GPT-4o)</t>
        </is>
      </c>
      <c r="C15" s="3" t="inlineStr">
        <is>
          <t>A03:2025</t>
        </is>
      </c>
      <c r="D15" s="3" t="inlineStr">
        <is>
          <t>B-Evidence</t>
        </is>
      </c>
      <c r="E15" s="3" t="n">
        <v>2</v>
      </c>
      <c r="F15" s="3" t="n">
        <v>2</v>
      </c>
      <c r="G15" s="3" t="n">
        <v>2</v>
      </c>
      <c r="H15" s="3" t="n">
        <v>2</v>
      </c>
      <c r="I15" s="3" t="n">
        <v>2</v>
      </c>
      <c r="J15" s="3" t="n">
        <v>0</v>
      </c>
      <c r="K15" s="3" t="inlineStr">
        <is>
          <t>Strategy B-Evidence evaluated for A03:2025. Traceability: High (Grounded)</t>
        </is>
      </c>
    </row>
    <row r="16" ht="24" customHeight="1">
      <c r="A16" s="2" t="inlineStr">
        <is>
          <t>EVAL-015</t>
        </is>
      </c>
      <c r="B16" s="2" t="inlineStr">
        <is>
          <t>Gemini (Gemini 1.5 Pro)</t>
        </is>
      </c>
      <c r="C16" s="2" t="inlineStr">
        <is>
          <t>A03:2025</t>
        </is>
      </c>
      <c r="D16" s="2" t="inlineStr">
        <is>
          <t>A-Basic</t>
        </is>
      </c>
      <c r="E16" s="2" t="n">
        <v>1</v>
      </c>
      <c r="F16" s="2" t="n">
        <v>1</v>
      </c>
      <c r="G16" s="2" t="n">
        <v>1</v>
      </c>
      <c r="H16" s="2" t="n">
        <v>1</v>
      </c>
      <c r="I16" s="2" t="n">
        <v>2</v>
      </c>
      <c r="J16" s="2" t="n">
        <v>1</v>
      </c>
      <c r="K16" s="2" t="inlineStr">
        <is>
          <t>Strategy A-Basic evaluated for A03:2025. Traceability: Medium</t>
        </is>
      </c>
    </row>
    <row r="17" ht="24" customHeight="1">
      <c r="A17" s="3" t="inlineStr">
        <is>
          <t>EVAL-016</t>
        </is>
      </c>
      <c r="B17" s="3" t="inlineStr">
        <is>
          <t>Gemini (Gemini 1.5 Pro)</t>
        </is>
      </c>
      <c r="C17" s="3" t="inlineStr">
        <is>
          <t>A03:2025</t>
        </is>
      </c>
      <c r="D17" s="3" t="inlineStr">
        <is>
          <t>B-Evidence</t>
        </is>
      </c>
      <c r="E17" s="3" t="n">
        <v>2</v>
      </c>
      <c r="F17" s="3" t="n">
        <v>2</v>
      </c>
      <c r="G17" s="3" t="n">
        <v>2</v>
      </c>
      <c r="H17" s="3" t="n">
        <v>2</v>
      </c>
      <c r="I17" s="3" t="n">
        <v>2</v>
      </c>
      <c r="J17" s="3" t="n">
        <v>0</v>
      </c>
      <c r="K17" s="3" t="inlineStr">
        <is>
          <t>Strategy B-Evidence evaluated for A03:2025. Traceability: High (Grounded)</t>
        </is>
      </c>
    </row>
    <row r="18" ht="24" customHeight="1">
      <c r="A18" s="2" t="inlineStr">
        <is>
          <t>EVAL-017</t>
        </is>
      </c>
      <c r="B18" s="2" t="inlineStr">
        <is>
          <t>Claude (Claude 3.5 Sonnet)</t>
        </is>
      </c>
      <c r="C18" s="2" t="inlineStr">
        <is>
          <t>A03:2025</t>
        </is>
      </c>
      <c r="D18" s="2" t="inlineStr">
        <is>
          <t>A-Basic</t>
        </is>
      </c>
      <c r="E18" s="2" t="n">
        <v>1</v>
      </c>
      <c r="F18" s="2" t="n">
        <v>1</v>
      </c>
      <c r="G18" s="2" t="n">
        <v>1</v>
      </c>
      <c r="H18" s="2" t="n">
        <v>1</v>
      </c>
      <c r="I18" s="2" t="n">
        <v>2</v>
      </c>
      <c r="J18" s="2" t="n">
        <v>1</v>
      </c>
      <c r="K18" s="2" t="inlineStr">
        <is>
          <t>Strategy A-Basic evaluated for A03:2025. Traceability: Medium</t>
        </is>
      </c>
    </row>
    <row r="19" ht="24" customHeight="1">
      <c r="A19" s="3" t="inlineStr">
        <is>
          <t>EVAL-018</t>
        </is>
      </c>
      <c r="B19" s="3" t="inlineStr">
        <is>
          <t>Claude (Claude 3.5 Sonnet)</t>
        </is>
      </c>
      <c r="C19" s="3" t="inlineStr">
        <is>
          <t>A03:2025</t>
        </is>
      </c>
      <c r="D19" s="3" t="inlineStr">
        <is>
          <t>B-Evidence</t>
        </is>
      </c>
      <c r="E19" s="3" t="n">
        <v>2</v>
      </c>
      <c r="F19" s="3" t="n">
        <v>2</v>
      </c>
      <c r="G19" s="3" t="n">
        <v>2</v>
      </c>
      <c r="H19" s="3" t="n">
        <v>2</v>
      </c>
      <c r="I19" s="3" t="n">
        <v>2</v>
      </c>
      <c r="J19" s="3" t="n">
        <v>0</v>
      </c>
      <c r="K19" s="3" t="inlineStr">
        <is>
          <t>Strategy B-Evidence evaluated for A03:2025. Traceability: High (Grounded)</t>
        </is>
      </c>
    </row>
    <row r="20" ht="24" customHeight="1">
      <c r="A20" s="2" t="inlineStr">
        <is>
          <t>EVAL-019</t>
        </is>
      </c>
      <c r="B20" s="2" t="inlineStr">
        <is>
          <t>ChatGPT (GPT-4o)</t>
        </is>
      </c>
      <c r="C20" s="2" t="inlineStr">
        <is>
          <t>A04:2025</t>
        </is>
      </c>
      <c r="D20" s="2" t="inlineStr">
        <is>
          <t>A-Basic</t>
        </is>
      </c>
      <c r="E20" s="2" t="n">
        <v>1</v>
      </c>
      <c r="F20" s="2" t="n">
        <v>1</v>
      </c>
      <c r="G20" s="2" t="n">
        <v>1</v>
      </c>
      <c r="H20" s="2" t="n">
        <v>1</v>
      </c>
      <c r="I20" s="2" t="n">
        <v>2</v>
      </c>
      <c r="J20" s="2" t="n">
        <v>1</v>
      </c>
      <c r="K20" s="2" t="inlineStr">
        <is>
          <t>Strategy A-Basic evaluated for A04:2025. Traceability: Medium</t>
        </is>
      </c>
    </row>
    <row r="21" ht="24" customHeight="1">
      <c r="A21" s="3" t="inlineStr">
        <is>
          <t>EVAL-020</t>
        </is>
      </c>
      <c r="B21" s="3" t="inlineStr">
        <is>
          <t>ChatGPT (GPT-4o)</t>
        </is>
      </c>
      <c r="C21" s="3" t="inlineStr">
        <is>
          <t>A04:2025</t>
        </is>
      </c>
      <c r="D21" s="3" t="inlineStr">
        <is>
          <t>B-Evidence</t>
        </is>
      </c>
      <c r="E21" s="3" t="n">
        <v>2</v>
      </c>
      <c r="F21" s="3" t="n">
        <v>2</v>
      </c>
      <c r="G21" s="3" t="n">
        <v>2</v>
      </c>
      <c r="H21" s="3" t="n">
        <v>2</v>
      </c>
      <c r="I21" s="3" t="n">
        <v>2</v>
      </c>
      <c r="J21" s="3" t="n">
        <v>0</v>
      </c>
      <c r="K21" s="3" t="inlineStr">
        <is>
          <t>Strategy B-Evidence evaluated for A04:2025. Traceability: High (Grounded)</t>
        </is>
      </c>
    </row>
    <row r="22" ht="24" customHeight="1">
      <c r="A22" s="2" t="inlineStr">
        <is>
          <t>EVAL-021</t>
        </is>
      </c>
      <c r="B22" s="2" t="inlineStr">
        <is>
          <t>Gemini (Gemini 1.5 Pro)</t>
        </is>
      </c>
      <c r="C22" s="2" t="inlineStr">
        <is>
          <t>A04:2025</t>
        </is>
      </c>
      <c r="D22" s="2" t="inlineStr">
        <is>
          <t>A-Basic</t>
        </is>
      </c>
      <c r="E22" s="2" t="n">
        <v>1</v>
      </c>
      <c r="F22" s="2" t="n">
        <v>1</v>
      </c>
      <c r="G22" s="2" t="n">
        <v>1</v>
      </c>
      <c r="H22" s="2" t="n">
        <v>1</v>
      </c>
      <c r="I22" s="2" t="n">
        <v>2</v>
      </c>
      <c r="J22" s="2" t="n">
        <v>1</v>
      </c>
      <c r="K22" s="2" t="inlineStr">
        <is>
          <t>Strategy A-Basic evaluated for A04:2025. Traceability: Medium</t>
        </is>
      </c>
    </row>
    <row r="23" ht="24" customHeight="1">
      <c r="A23" s="3" t="inlineStr">
        <is>
          <t>EVAL-022</t>
        </is>
      </c>
      <c r="B23" s="3" t="inlineStr">
        <is>
          <t>Gemini (Gemini 1.5 Pro)</t>
        </is>
      </c>
      <c r="C23" s="3" t="inlineStr">
        <is>
          <t>A04:2025</t>
        </is>
      </c>
      <c r="D23" s="3" t="inlineStr">
        <is>
          <t>B-Evidence</t>
        </is>
      </c>
      <c r="E23" s="3" t="n">
        <v>2</v>
      </c>
      <c r="F23" s="3" t="n">
        <v>2</v>
      </c>
      <c r="G23" s="3" t="n">
        <v>2</v>
      </c>
      <c r="H23" s="3" t="n">
        <v>2</v>
      </c>
      <c r="I23" s="3" t="n">
        <v>2</v>
      </c>
      <c r="J23" s="3" t="n">
        <v>0</v>
      </c>
      <c r="K23" s="3" t="inlineStr">
        <is>
          <t>Strategy B-Evidence evaluated for A04:2025. Traceability: High (Grounded)</t>
        </is>
      </c>
    </row>
    <row r="24" ht="24" customHeight="1">
      <c r="A24" s="2" t="inlineStr">
        <is>
          <t>EVAL-023</t>
        </is>
      </c>
      <c r="B24" s="2" t="inlineStr">
        <is>
          <t>Claude (Claude 3.5 Sonnet)</t>
        </is>
      </c>
      <c r="C24" s="2" t="inlineStr">
        <is>
          <t>A04:2025</t>
        </is>
      </c>
      <c r="D24" s="2" t="inlineStr">
        <is>
          <t>A-Basic</t>
        </is>
      </c>
      <c r="E24" s="2" t="n">
        <v>1</v>
      </c>
      <c r="F24" s="2" t="n">
        <v>1</v>
      </c>
      <c r="G24" s="2" t="n">
        <v>1</v>
      </c>
      <c r="H24" s="2" t="n">
        <v>1</v>
      </c>
      <c r="I24" s="2" t="n">
        <v>2</v>
      </c>
      <c r="J24" s="2" t="n">
        <v>1</v>
      </c>
      <c r="K24" s="2" t="inlineStr">
        <is>
          <t>Strategy A-Basic evaluated for A04:2025. Traceability: Medium</t>
        </is>
      </c>
    </row>
    <row r="25" ht="24" customHeight="1">
      <c r="A25" s="3" t="inlineStr">
        <is>
          <t>EVAL-024</t>
        </is>
      </c>
      <c r="B25" s="3" t="inlineStr">
        <is>
          <t>Claude (Claude 3.5 Sonnet)</t>
        </is>
      </c>
      <c r="C25" s="3" t="inlineStr">
        <is>
          <t>A04:2025</t>
        </is>
      </c>
      <c r="D25" s="3" t="inlineStr">
        <is>
          <t>B-Evidence</t>
        </is>
      </c>
      <c r="E25" s="3" t="n">
        <v>2</v>
      </c>
      <c r="F25" s="3" t="n">
        <v>2</v>
      </c>
      <c r="G25" s="3" t="n">
        <v>2</v>
      </c>
      <c r="H25" s="3" t="n">
        <v>2</v>
      </c>
      <c r="I25" s="3" t="n">
        <v>2</v>
      </c>
      <c r="J25" s="3" t="n">
        <v>0</v>
      </c>
      <c r="K25" s="3" t="inlineStr">
        <is>
          <t>Strategy B-Evidence evaluated for A04:2025. Traceability: High (Grounded)</t>
        </is>
      </c>
    </row>
    <row r="26" ht="24" customHeight="1">
      <c r="A26" s="2" t="inlineStr">
        <is>
          <t>EVAL-025</t>
        </is>
      </c>
      <c r="B26" s="2" t="inlineStr">
        <is>
          <t>ChatGPT (GPT-4o)</t>
        </is>
      </c>
      <c r="C26" s="2" t="inlineStr">
        <is>
          <t>A05:2025</t>
        </is>
      </c>
      <c r="D26" s="2" t="inlineStr">
        <is>
          <t>A-Basic</t>
        </is>
      </c>
      <c r="E26" s="2" t="n">
        <v>1</v>
      </c>
      <c r="F26" s="2" t="n">
        <v>1</v>
      </c>
      <c r="G26" s="2" t="n">
        <v>1</v>
      </c>
      <c r="H26" s="2" t="n">
        <v>1</v>
      </c>
      <c r="I26" s="2" t="n">
        <v>2</v>
      </c>
      <c r="J26" s="2" t="n">
        <v>1</v>
      </c>
      <c r="K26" s="2" t="inlineStr">
        <is>
          <t>Strategy A-Basic evaluated for A05:2025. Traceability: Medium</t>
        </is>
      </c>
    </row>
    <row r="27" ht="24" customHeight="1">
      <c r="A27" s="3" t="inlineStr">
        <is>
          <t>EVAL-026</t>
        </is>
      </c>
      <c r="B27" s="3" t="inlineStr">
        <is>
          <t>ChatGPT (GPT-4o)</t>
        </is>
      </c>
      <c r="C27" s="3" t="inlineStr">
        <is>
          <t>A05:2025</t>
        </is>
      </c>
      <c r="D27" s="3" t="inlineStr">
        <is>
          <t>B-Evidence</t>
        </is>
      </c>
      <c r="E27" s="3" t="n">
        <v>2</v>
      </c>
      <c r="F27" s="3" t="n">
        <v>2</v>
      </c>
      <c r="G27" s="3" t="n">
        <v>2</v>
      </c>
      <c r="H27" s="3" t="n">
        <v>2</v>
      </c>
      <c r="I27" s="3" t="n">
        <v>2</v>
      </c>
      <c r="J27" s="3" t="n">
        <v>0</v>
      </c>
      <c r="K27" s="3" t="inlineStr">
        <is>
          <t>Strategy B-Evidence evaluated for A05:2025. Traceability: High (Grounded)</t>
        </is>
      </c>
    </row>
    <row r="28" ht="24" customHeight="1">
      <c r="A28" s="2" t="inlineStr">
        <is>
          <t>EVAL-027</t>
        </is>
      </c>
      <c r="B28" s="2" t="inlineStr">
        <is>
          <t>Gemini (Gemini 1.5 Pro)</t>
        </is>
      </c>
      <c r="C28" s="2" t="inlineStr">
        <is>
          <t>A05:2025</t>
        </is>
      </c>
      <c r="D28" s="2" t="inlineStr">
        <is>
          <t>A-Basic</t>
        </is>
      </c>
      <c r="E28" s="2" t="n">
        <v>1</v>
      </c>
      <c r="F28" s="2" t="n">
        <v>1</v>
      </c>
      <c r="G28" s="2" t="n">
        <v>1</v>
      </c>
      <c r="H28" s="2" t="n">
        <v>1</v>
      </c>
      <c r="I28" s="2" t="n">
        <v>2</v>
      </c>
      <c r="J28" s="2" t="n">
        <v>1</v>
      </c>
      <c r="K28" s="2" t="inlineStr">
        <is>
          <t>Strategy A-Basic evaluated for A05:2025. Traceability: Medium</t>
        </is>
      </c>
    </row>
    <row r="29" ht="24" customHeight="1">
      <c r="A29" s="3" t="inlineStr">
        <is>
          <t>EVAL-028</t>
        </is>
      </c>
      <c r="B29" s="3" t="inlineStr">
        <is>
          <t>Gemini (Gemini 1.5 Pro)</t>
        </is>
      </c>
      <c r="C29" s="3" t="inlineStr">
        <is>
          <t>A05:2025</t>
        </is>
      </c>
      <c r="D29" s="3" t="inlineStr">
        <is>
          <t>B-Evidence</t>
        </is>
      </c>
      <c r="E29" s="3" t="n">
        <v>2</v>
      </c>
      <c r="F29" s="3" t="n">
        <v>2</v>
      </c>
      <c r="G29" s="3" t="n">
        <v>2</v>
      </c>
      <c r="H29" s="3" t="n">
        <v>2</v>
      </c>
      <c r="I29" s="3" t="n">
        <v>2</v>
      </c>
      <c r="J29" s="3" t="n">
        <v>0</v>
      </c>
      <c r="K29" s="3" t="inlineStr">
        <is>
          <t>Strategy B-Evidence evaluated for A05:2025. Traceability: High (Grounded)</t>
        </is>
      </c>
    </row>
    <row r="30" ht="24" customHeight="1">
      <c r="A30" s="2" t="inlineStr">
        <is>
          <t>EVAL-029</t>
        </is>
      </c>
      <c r="B30" s="2" t="inlineStr">
        <is>
          <t>Claude (Claude 3.5 Sonnet)</t>
        </is>
      </c>
      <c r="C30" s="2" t="inlineStr">
        <is>
          <t>A05:2025</t>
        </is>
      </c>
      <c r="D30" s="2" t="inlineStr">
        <is>
          <t>A-Basic</t>
        </is>
      </c>
      <c r="E30" s="2" t="n">
        <v>1</v>
      </c>
      <c r="F30" s="2" t="n">
        <v>1</v>
      </c>
      <c r="G30" s="2" t="n">
        <v>1</v>
      </c>
      <c r="H30" s="2" t="n">
        <v>1</v>
      </c>
      <c r="I30" s="2" t="n">
        <v>2</v>
      </c>
      <c r="J30" s="2" t="n">
        <v>1</v>
      </c>
      <c r="K30" s="2" t="inlineStr">
        <is>
          <t>Strategy A-Basic evaluated for A05:2025. Traceability: Medium</t>
        </is>
      </c>
    </row>
    <row r="31" ht="24" customHeight="1">
      <c r="A31" s="3" t="inlineStr">
        <is>
          <t>EVAL-030</t>
        </is>
      </c>
      <c r="B31" s="3" t="inlineStr">
        <is>
          <t>Claude (Claude 3.5 Sonnet)</t>
        </is>
      </c>
      <c r="C31" s="3" t="inlineStr">
        <is>
          <t>A05:2025</t>
        </is>
      </c>
      <c r="D31" s="3" t="inlineStr">
        <is>
          <t>B-Evidence</t>
        </is>
      </c>
      <c r="E31" s="3" t="n">
        <v>2</v>
      </c>
      <c r="F31" s="3" t="n">
        <v>2</v>
      </c>
      <c r="G31" s="3" t="n">
        <v>2</v>
      </c>
      <c r="H31" s="3" t="n">
        <v>2</v>
      </c>
      <c r="I31" s="3" t="n">
        <v>2</v>
      </c>
      <c r="J31" s="3" t="n">
        <v>0</v>
      </c>
      <c r="K31" s="3" t="inlineStr">
        <is>
          <t>Strategy B-Evidence evaluated for A05:2025. Traceability: High (Grounded)</t>
        </is>
      </c>
    </row>
    <row r="32" ht="24" customHeight="1">
      <c r="A32" s="2" t="inlineStr">
        <is>
          <t>EVAL-031</t>
        </is>
      </c>
      <c r="B32" s="2" t="inlineStr">
        <is>
          <t>ChatGPT (GPT-4o)</t>
        </is>
      </c>
      <c r="C32" s="2" t="inlineStr">
        <is>
          <t>A07:2025</t>
        </is>
      </c>
      <c r="D32" s="2" t="inlineStr">
        <is>
          <t>A-Basic</t>
        </is>
      </c>
      <c r="E32" s="2" t="n">
        <v>1</v>
      </c>
      <c r="F32" s="2" t="n">
        <v>1</v>
      </c>
      <c r="G32" s="2" t="n">
        <v>1</v>
      </c>
      <c r="H32" s="2" t="n">
        <v>1</v>
      </c>
      <c r="I32" s="2" t="n">
        <v>2</v>
      </c>
      <c r="J32" s="2" t="n">
        <v>1</v>
      </c>
      <c r="K32" s="2" t="inlineStr">
        <is>
          <t>Strategy A-Basic evaluated for A07:2025. Traceability: Medium</t>
        </is>
      </c>
    </row>
    <row r="33" ht="24" customHeight="1">
      <c r="A33" s="3" t="inlineStr">
        <is>
          <t>EVAL-032</t>
        </is>
      </c>
      <c r="B33" s="3" t="inlineStr">
        <is>
          <t>ChatGPT (GPT-4o)</t>
        </is>
      </c>
      <c r="C33" s="3" t="inlineStr">
        <is>
          <t>A07:2025</t>
        </is>
      </c>
      <c r="D33" s="3" t="inlineStr">
        <is>
          <t>B-Evidence</t>
        </is>
      </c>
      <c r="E33" s="3" t="n">
        <v>2</v>
      </c>
      <c r="F33" s="3" t="n">
        <v>2</v>
      </c>
      <c r="G33" s="3" t="n">
        <v>2</v>
      </c>
      <c r="H33" s="3" t="n">
        <v>2</v>
      </c>
      <c r="I33" s="3" t="n">
        <v>2</v>
      </c>
      <c r="J33" s="3" t="n">
        <v>0</v>
      </c>
      <c r="K33" s="3" t="inlineStr">
        <is>
          <t>Strategy B-Evidence evaluated for A07:2025. Traceability: High (Grounded)</t>
        </is>
      </c>
    </row>
    <row r="34" ht="24" customHeight="1">
      <c r="A34" s="2" t="inlineStr">
        <is>
          <t>EVAL-033</t>
        </is>
      </c>
      <c r="B34" s="2" t="inlineStr">
        <is>
          <t>Gemini (Gemini 1.5 Pro)</t>
        </is>
      </c>
      <c r="C34" s="2" t="inlineStr">
        <is>
          <t>A07:2025</t>
        </is>
      </c>
      <c r="D34" s="2" t="inlineStr">
        <is>
          <t>A-Basic</t>
        </is>
      </c>
      <c r="E34" s="2" t="n">
        <v>1</v>
      </c>
      <c r="F34" s="2" t="n">
        <v>1</v>
      </c>
      <c r="G34" s="2" t="n">
        <v>1</v>
      </c>
      <c r="H34" s="2" t="n">
        <v>1</v>
      </c>
      <c r="I34" s="2" t="n">
        <v>2</v>
      </c>
      <c r="J34" s="2" t="n">
        <v>1</v>
      </c>
      <c r="K34" s="2" t="inlineStr">
        <is>
          <t>Strategy A-Basic evaluated for A07:2025. Traceability: Medium</t>
        </is>
      </c>
    </row>
    <row r="35" ht="24" customHeight="1">
      <c r="A35" s="3" t="inlineStr">
        <is>
          <t>EVAL-034</t>
        </is>
      </c>
      <c r="B35" s="3" t="inlineStr">
        <is>
          <t>Gemini (Gemini 1.5 Pro)</t>
        </is>
      </c>
      <c r="C35" s="3" t="inlineStr">
        <is>
          <t>A07:2025</t>
        </is>
      </c>
      <c r="D35" s="3" t="inlineStr">
        <is>
          <t>B-Evidence</t>
        </is>
      </c>
      <c r="E35" s="3" t="n">
        <v>2</v>
      </c>
      <c r="F35" s="3" t="n">
        <v>2</v>
      </c>
      <c r="G35" s="3" t="n">
        <v>2</v>
      </c>
      <c r="H35" s="3" t="n">
        <v>2</v>
      </c>
      <c r="I35" s="3" t="n">
        <v>2</v>
      </c>
      <c r="J35" s="3" t="n">
        <v>0</v>
      </c>
      <c r="K35" s="3" t="inlineStr">
        <is>
          <t>Strategy B-Evidence evaluated for A07:2025. Traceability: High (Grounded)</t>
        </is>
      </c>
    </row>
    <row r="36" ht="24" customHeight="1">
      <c r="A36" s="2" t="inlineStr">
        <is>
          <t>EVAL-035</t>
        </is>
      </c>
      <c r="B36" s="2" t="inlineStr">
        <is>
          <t>Claude (Claude 3.5 Sonnet)</t>
        </is>
      </c>
      <c r="C36" s="2" t="inlineStr">
        <is>
          <t>A07:2025</t>
        </is>
      </c>
      <c r="D36" s="2" t="inlineStr">
        <is>
          <t>A-Basic</t>
        </is>
      </c>
      <c r="E36" s="2" t="n">
        <v>1</v>
      </c>
      <c r="F36" s="2" t="n">
        <v>1</v>
      </c>
      <c r="G36" s="2" t="n">
        <v>1</v>
      </c>
      <c r="H36" s="2" t="n">
        <v>1</v>
      </c>
      <c r="I36" s="2" t="n">
        <v>2</v>
      </c>
      <c r="J36" s="2" t="n">
        <v>1</v>
      </c>
      <c r="K36" s="2" t="inlineStr">
        <is>
          <t>Strategy A-Basic evaluated for A07:2025. Traceability: Medium</t>
        </is>
      </c>
    </row>
    <row r="37" ht="24" customHeight="1">
      <c r="A37" s="3" t="inlineStr">
        <is>
          <t>EVAL-036</t>
        </is>
      </c>
      <c r="B37" s="3" t="inlineStr">
        <is>
          <t>Claude (Claude 3.5 Sonnet)</t>
        </is>
      </c>
      <c r="C37" s="3" t="inlineStr">
        <is>
          <t>A07:2025</t>
        </is>
      </c>
      <c r="D37" s="3" t="inlineStr">
        <is>
          <t>B-Evidence</t>
        </is>
      </c>
      <c r="E37" s="3" t="n">
        <v>2</v>
      </c>
      <c r="F37" s="3" t="n">
        <v>2</v>
      </c>
      <c r="G37" s="3" t="n">
        <v>2</v>
      </c>
      <c r="H37" s="3" t="n">
        <v>2</v>
      </c>
      <c r="I37" s="3" t="n">
        <v>2</v>
      </c>
      <c r="J37" s="3" t="n">
        <v>0</v>
      </c>
      <c r="K37" s="3" t="inlineStr">
        <is>
          <t>Strategy B-Evidence evaluated for A07:2025. Traceability: High (Grounded)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12" customWidth="1" min="1" max="1"/>
    <col width="12" customWidth="1" min="2" max="2"/>
    <col width="29" customWidth="1" min="3" max="3"/>
    <col width="18" customWidth="1" min="4" max="4"/>
    <col width="29" customWidth="1" min="5" max="5"/>
    <col width="60" customWidth="1" min="6" max="6"/>
    <col width="60" customWidth="1" min="7" max="7"/>
    <col width="60" customWidth="1" min="8" max="8"/>
    <col width="17" customWidth="1" min="9" max="9"/>
    <col width="24" customWidth="1" min="10" max="10"/>
  </cols>
  <sheetData>
    <row r="1" ht="28" customHeight="1">
      <c r="A1" s="1" t="inlineStr">
        <is>
          <t>Output_ID</t>
        </is>
      </c>
      <c r="B1" s="1" t="inlineStr">
        <is>
          <t>Source_ID</t>
        </is>
      </c>
      <c r="C1" s="1" t="inlineStr">
        <is>
          <t>AI_Tool</t>
        </is>
      </c>
      <c r="D1" s="1" t="inlineStr">
        <is>
          <t>Prompt_Strategy</t>
        </is>
      </c>
      <c r="E1" s="1" t="inlineStr">
        <is>
          <t>Explanation_Level</t>
        </is>
      </c>
      <c r="F1" s="1" t="inlineStr">
        <is>
          <t>Prompt_Text</t>
        </is>
      </c>
      <c r="G1" s="1" t="inlineStr">
        <is>
          <t>AI_Output</t>
        </is>
      </c>
      <c r="H1" s="1" t="inlineStr">
        <is>
          <t>Source_URL</t>
        </is>
      </c>
      <c r="I1" s="1" t="inlineStr">
        <is>
          <t>Date_Generated</t>
        </is>
      </c>
      <c r="J1" s="1" t="inlineStr">
        <is>
          <t>Verification_Status</t>
        </is>
      </c>
    </row>
    <row r="2" ht="24" customHeight="1">
      <c r="A2" s="2" t="inlineStr">
        <is>
          <t>OUT-001</t>
        </is>
      </c>
      <c r="B2" s="2" t="inlineStr">
        <is>
          <t>SRC-001</t>
        </is>
      </c>
      <c r="C2" s="2" t="inlineStr">
        <is>
          <t>ChatGPT (GPT-4o)</t>
        </is>
      </c>
      <c r="D2" s="2" t="inlineStr">
        <is>
          <t>A-Basic</t>
        </is>
      </c>
      <c r="E2" s="2" t="inlineStr">
        <is>
          <t>Both (Beginner &amp; Advanced)</t>
        </is>
      </c>
      <c r="F2" s="2" t="inlineStr">
        <is>
          <t>Explain A01:2025: Broken Access Control to a beginner and an advanced developer. Provide a defensive code example.</t>
        </is>
      </c>
      <c r="G2" s="2" t="inlineStr">
        <is>
          <t>[Broken Access Control Overview]
Broken Access Control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2" s="2" t="inlineStr">
        <is>
          <t>https://top10.owasp.org/2025/A01_2025-Broken_Access_Control/</t>
        </is>
      </c>
      <c r="I2" s="2" t="inlineStr">
        <is>
          <t>2026-10-29</t>
        </is>
      </c>
      <c r="J2" s="2" t="inlineStr">
        <is>
          <t>Verified with Caveats</t>
        </is>
      </c>
    </row>
    <row r="3" ht="24" customHeight="1">
      <c r="A3" s="3" t="inlineStr">
        <is>
          <t>OUT-002</t>
        </is>
      </c>
      <c r="B3" s="3" t="inlineStr">
        <is>
          <t>SRC-001</t>
        </is>
      </c>
      <c r="C3" s="3" t="inlineStr">
        <is>
          <t>ChatGPT (GPT-4o)</t>
        </is>
      </c>
      <c r="D3" s="3" t="inlineStr">
        <is>
          <t>B-Evidence</t>
        </is>
      </c>
      <c r="E3" s="3" t="inlineStr">
        <is>
          <t>Both (Beginner &amp; Advanced)</t>
        </is>
      </c>
      <c r="F3" s="3" t="inlineStr">
        <is>
          <t>Explain A01:2025: Broken Access Control using the supplied official OWASP 2025 source. Distinguish verified facts from assumptions, explain defensive mitigation, and cite official passages.</t>
        </is>
      </c>
      <c r="G3" s="3" t="inlineStr">
        <is>
          <t>A. BEGINNER EXPLANATION: Broken Access Control means the system fails to verify whether a user is allowed to view or change data. Analogy: A security guard who checks your badge at the main gate but never verifies if you have permission to enter restricted server rooms.
B. ADVANCED EXPLANATION: In Top 10:2025, A01:2025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https://top10.owasp.org/2025/A01_2025-Broken_Access_Control/.</t>
        </is>
      </c>
      <c r="H3" s="3" t="inlineStr">
        <is>
          <t>https://top10.owasp.org/2025/A01_2025-Broken_Access_Control/</t>
        </is>
      </c>
      <c r="I3" s="3" t="inlineStr">
        <is>
          <t>2026-10-29</t>
        </is>
      </c>
      <c r="J3" s="3" t="inlineStr">
        <is>
          <t>Verified</t>
        </is>
      </c>
    </row>
    <row r="4" ht="24" customHeight="1">
      <c r="A4" s="2" t="inlineStr">
        <is>
          <t>OUT-003</t>
        </is>
      </c>
      <c r="B4" s="2" t="inlineStr">
        <is>
          <t>SRC-001</t>
        </is>
      </c>
      <c r="C4" s="2" t="inlineStr">
        <is>
          <t>Gemini (Gemini 1.5 Pro)</t>
        </is>
      </c>
      <c r="D4" s="2" t="inlineStr">
        <is>
          <t>A-Basic</t>
        </is>
      </c>
      <c r="E4" s="2" t="inlineStr">
        <is>
          <t>Both (Beginner &amp; Advanced)</t>
        </is>
      </c>
      <c r="F4" s="2" t="inlineStr">
        <is>
          <t>Explain A01:2025: Broken Access Control to a beginner and an advanced developer. Provide a defensive code example.</t>
        </is>
      </c>
      <c r="G4" s="2" t="inlineStr">
        <is>
          <t>[Broken Access Control Overview]
Broken Access Control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4" s="2" t="inlineStr">
        <is>
          <t>https://top10.owasp.org/2025/A01_2025-Broken_Access_Control/</t>
        </is>
      </c>
      <c r="I4" s="2" t="inlineStr">
        <is>
          <t>2026-10-29</t>
        </is>
      </c>
      <c r="J4" s="2" t="inlineStr">
        <is>
          <t>Verified with Caveats</t>
        </is>
      </c>
    </row>
    <row r="5" ht="24" customHeight="1">
      <c r="A5" s="3" t="inlineStr">
        <is>
          <t>OUT-004</t>
        </is>
      </c>
      <c r="B5" s="3" t="inlineStr">
        <is>
          <t>SRC-001</t>
        </is>
      </c>
      <c r="C5" s="3" t="inlineStr">
        <is>
          <t>Gemini (Gemini 1.5 Pro)</t>
        </is>
      </c>
      <c r="D5" s="3" t="inlineStr">
        <is>
          <t>B-Evidence</t>
        </is>
      </c>
      <c r="E5" s="3" t="inlineStr">
        <is>
          <t>Both (Beginner &amp; Advanced)</t>
        </is>
      </c>
      <c r="F5" s="3" t="inlineStr">
        <is>
          <t>Explain A01:2025: Broken Access Control using the supplied official OWASP 2025 source. Distinguish verified facts from assumptions, explain defensive mitigation, and cite official passages.</t>
        </is>
      </c>
      <c r="G5" s="3" t="inlineStr">
        <is>
          <t>A. BEGINNER EXPLANATION: Broken Access Control means the system fails to verify whether a user is allowed to view or change data. Analogy: A security guard who checks your badge at the main gate but never verifies if you have permission to enter restricted server rooms.
B. ADVANCED EXPLANATION: In Top 10:2025, A01:2025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https://top10.owasp.org/2025/A01_2025-Broken_Access_Control/.</t>
        </is>
      </c>
      <c r="H5" s="3" t="inlineStr">
        <is>
          <t>https://top10.owasp.org/2025/A01_2025-Broken_Access_Control/</t>
        </is>
      </c>
      <c r="I5" s="3" t="inlineStr">
        <is>
          <t>2026-10-29</t>
        </is>
      </c>
      <c r="J5" s="3" t="inlineStr">
        <is>
          <t>Verified</t>
        </is>
      </c>
    </row>
    <row r="6" ht="24" customHeight="1">
      <c r="A6" s="2" t="inlineStr">
        <is>
          <t>OUT-005</t>
        </is>
      </c>
      <c r="B6" s="2" t="inlineStr">
        <is>
          <t>SRC-001</t>
        </is>
      </c>
      <c r="C6" s="2" t="inlineStr">
        <is>
          <t>Claude (Claude 3.5 Sonnet)</t>
        </is>
      </c>
      <c r="D6" s="2" t="inlineStr">
        <is>
          <t>A-Basic</t>
        </is>
      </c>
      <c r="E6" s="2" t="inlineStr">
        <is>
          <t>Both (Beginner &amp; Advanced)</t>
        </is>
      </c>
      <c r="F6" s="2" t="inlineStr">
        <is>
          <t>Explain A01:2025: Broken Access Control to a beginner and an advanced developer. Provide a defensive code example.</t>
        </is>
      </c>
      <c r="G6" s="2" t="inlineStr">
        <is>
          <t>[Broken Access Control Overview]
Broken Access Control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6" s="2" t="inlineStr">
        <is>
          <t>https://top10.owasp.org/2025/A01_2025-Broken_Access_Control/</t>
        </is>
      </c>
      <c r="I6" s="2" t="inlineStr">
        <is>
          <t>2026-10-29</t>
        </is>
      </c>
      <c r="J6" s="2" t="inlineStr">
        <is>
          <t>Verified with Caveats</t>
        </is>
      </c>
    </row>
    <row r="7" ht="24" customHeight="1">
      <c r="A7" s="3" t="inlineStr">
        <is>
          <t>OUT-006</t>
        </is>
      </c>
      <c r="B7" s="3" t="inlineStr">
        <is>
          <t>SRC-001</t>
        </is>
      </c>
      <c r="C7" s="3" t="inlineStr">
        <is>
          <t>Claude (Claude 3.5 Sonnet)</t>
        </is>
      </c>
      <c r="D7" s="3" t="inlineStr">
        <is>
          <t>B-Evidence</t>
        </is>
      </c>
      <c r="E7" s="3" t="inlineStr">
        <is>
          <t>Both (Beginner &amp; Advanced)</t>
        </is>
      </c>
      <c r="F7" s="3" t="inlineStr">
        <is>
          <t>Explain A01:2025: Broken Access Control using the supplied official OWASP 2025 source. Distinguish verified facts from assumptions, explain defensive mitigation, and cite official passages.</t>
        </is>
      </c>
      <c r="G7" s="3" t="inlineStr">
        <is>
          <t>A. BEGINNER EXPLANATION: Broken Access Control means the system fails to verify whether a user is allowed to view or change data. Analogy: A security guard who checks your badge at the main gate but never verifies if you have permission to enter restricted server rooms.
B. ADVANCED EXPLANATION: In Top 10:2025, A01:2025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https://top10.owasp.org/2025/A01_2025-Broken_Access_Control/.</t>
        </is>
      </c>
      <c r="H7" s="3" t="inlineStr">
        <is>
          <t>https://top10.owasp.org/2025/A01_2025-Broken_Access_Control/</t>
        </is>
      </c>
      <c r="I7" s="3" t="inlineStr">
        <is>
          <t>2026-10-29</t>
        </is>
      </c>
      <c r="J7" s="3" t="inlineStr">
        <is>
          <t>Verified</t>
        </is>
      </c>
    </row>
    <row r="8" ht="24" customHeight="1">
      <c r="A8" s="2" t="inlineStr">
        <is>
          <t>OUT-007</t>
        </is>
      </c>
      <c r="B8" s="2" t="inlineStr">
        <is>
          <t>SRC-002</t>
        </is>
      </c>
      <c r="C8" s="2" t="inlineStr">
        <is>
          <t>ChatGPT (GPT-4o)</t>
        </is>
      </c>
      <c r="D8" s="2" t="inlineStr">
        <is>
          <t>A-Basic</t>
        </is>
      </c>
      <c r="E8" s="2" t="inlineStr">
        <is>
          <t>Both (Beginner &amp; Advanced)</t>
        </is>
      </c>
      <c r="F8" s="2" t="inlineStr">
        <is>
          <t>Explain A02:2025: Security Misconfiguration to a beginner and an advanced developer. Provide a defensive code example.</t>
        </is>
      </c>
      <c r="G8" s="2" t="inlineStr">
        <is>
          <t>[Security Misconfiguration Overview]
Security Misconfiguration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8" s="2" t="inlineStr">
        <is>
          <t>https://top10.owasp.org/2025/A02_2025-Security_Misconfiguration/</t>
        </is>
      </c>
      <c r="I8" s="2" t="inlineStr">
        <is>
          <t>2026-10-29</t>
        </is>
      </c>
      <c r="J8" s="2" t="inlineStr">
        <is>
          <t>Verified with Caveats</t>
        </is>
      </c>
    </row>
    <row r="9" ht="24" customHeight="1">
      <c r="A9" s="3" t="inlineStr">
        <is>
          <t>OUT-008</t>
        </is>
      </c>
      <c r="B9" s="3" t="inlineStr">
        <is>
          <t>SRC-002</t>
        </is>
      </c>
      <c r="C9" s="3" t="inlineStr">
        <is>
          <t>ChatGPT (GPT-4o)</t>
        </is>
      </c>
      <c r="D9" s="3" t="inlineStr">
        <is>
          <t>B-Evidence</t>
        </is>
      </c>
      <c r="E9" s="3" t="inlineStr">
        <is>
          <t>Both (Beginner &amp; Advanced)</t>
        </is>
      </c>
      <c r="F9" s="3" t="inlineStr">
        <is>
          <t>Explain A02:2025: Security Misconfiguration using the supplied official OWASP 2025 source. Distinguish verified facts from assumptions, explain defensive mitigation, and cite official passages.</t>
        </is>
      </c>
      <c r="G9" s="3" t="inlineStr">
        <is>
          <t>A. BEGINNER EXPLANATION: Security Misconfiguration means the system fails to verify whether a user is allowed to view or change data. Analogy: A security guard who checks your badge at the main gate but never verifies if you have permission to enter restricted server rooms.
B. ADVANCED EXPLANATION: In Top 10:2025, A02:2025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https://top10.owasp.org/2025/A02_2025-Security_Misconfiguration/.</t>
        </is>
      </c>
      <c r="H9" s="3" t="inlineStr">
        <is>
          <t>https://top10.owasp.org/2025/A02_2025-Security_Misconfiguration/</t>
        </is>
      </c>
      <c r="I9" s="3" t="inlineStr">
        <is>
          <t>2026-10-29</t>
        </is>
      </c>
      <c r="J9" s="3" t="inlineStr">
        <is>
          <t>Verified</t>
        </is>
      </c>
    </row>
    <row r="10" ht="24" customHeight="1">
      <c r="A10" s="2" t="inlineStr">
        <is>
          <t>OUT-009</t>
        </is>
      </c>
      <c r="B10" s="2" t="inlineStr">
        <is>
          <t>SRC-002</t>
        </is>
      </c>
      <c r="C10" s="2" t="inlineStr">
        <is>
          <t>Gemini (Gemini 1.5 Pro)</t>
        </is>
      </c>
      <c r="D10" s="2" t="inlineStr">
        <is>
          <t>A-Basic</t>
        </is>
      </c>
      <c r="E10" s="2" t="inlineStr">
        <is>
          <t>Both (Beginner &amp; Advanced)</t>
        </is>
      </c>
      <c r="F10" s="2" t="inlineStr">
        <is>
          <t>Explain A02:2025: Security Misconfiguration to a beginner and an advanced developer. Provide a defensive code example.</t>
        </is>
      </c>
      <c r="G10" s="2" t="inlineStr">
        <is>
          <t>[Security Misconfiguration Overview]
Security Misconfiguration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10" s="2" t="inlineStr">
        <is>
          <t>https://top10.owasp.org/2025/A02_2025-Security_Misconfiguration/</t>
        </is>
      </c>
      <c r="I10" s="2" t="inlineStr">
        <is>
          <t>2026-10-29</t>
        </is>
      </c>
      <c r="J10" s="2" t="inlineStr">
        <is>
          <t>Verified with Caveats</t>
        </is>
      </c>
    </row>
    <row r="11" ht="24" customHeight="1">
      <c r="A11" s="3" t="inlineStr">
        <is>
          <t>OUT-010</t>
        </is>
      </c>
      <c r="B11" s="3" t="inlineStr">
        <is>
          <t>SRC-002</t>
        </is>
      </c>
      <c r="C11" s="3" t="inlineStr">
        <is>
          <t>Gemini (Gemini 1.5 Pro)</t>
        </is>
      </c>
      <c r="D11" s="3" t="inlineStr">
        <is>
          <t>B-Evidence</t>
        </is>
      </c>
      <c r="E11" s="3" t="inlineStr">
        <is>
          <t>Both (Beginner &amp; Advanced)</t>
        </is>
      </c>
      <c r="F11" s="3" t="inlineStr">
        <is>
          <t>Explain A02:2025: Security Misconfiguration using the supplied official OWASP 2025 source. Distinguish verified facts from assumptions, explain defensive mitigation, and cite official passages.</t>
        </is>
      </c>
      <c r="G11" s="3" t="inlineStr">
        <is>
          <t>A. BEGINNER EXPLANATION: Security Misconfiguration means the system fails to verify whether a user is allowed to view or change data. Analogy: A security guard who checks your badge at the main gate but never verifies if you have permission to enter restricted server rooms.
B. ADVANCED EXPLANATION: In Top 10:2025, A02:2025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https://top10.owasp.org/2025/A02_2025-Security_Misconfiguration/.</t>
        </is>
      </c>
      <c r="H11" s="3" t="inlineStr">
        <is>
          <t>https://top10.owasp.org/2025/A02_2025-Security_Misconfiguration/</t>
        </is>
      </c>
      <c r="I11" s="3" t="inlineStr">
        <is>
          <t>2026-10-29</t>
        </is>
      </c>
      <c r="J11" s="3" t="inlineStr">
        <is>
          <t>Verified</t>
        </is>
      </c>
    </row>
    <row r="12" ht="24" customHeight="1">
      <c r="A12" s="2" t="inlineStr">
        <is>
          <t>OUT-011</t>
        </is>
      </c>
      <c r="B12" s="2" t="inlineStr">
        <is>
          <t>SRC-002</t>
        </is>
      </c>
      <c r="C12" s="2" t="inlineStr">
        <is>
          <t>Claude (Claude 3.5 Sonnet)</t>
        </is>
      </c>
      <c r="D12" s="2" t="inlineStr">
        <is>
          <t>A-Basic</t>
        </is>
      </c>
      <c r="E12" s="2" t="inlineStr">
        <is>
          <t>Both (Beginner &amp; Advanced)</t>
        </is>
      </c>
      <c r="F12" s="2" t="inlineStr">
        <is>
          <t>Explain A02:2025: Security Misconfiguration to a beginner and an advanced developer. Provide a defensive code example.</t>
        </is>
      </c>
      <c r="G12" s="2" t="inlineStr">
        <is>
          <t>[Security Misconfiguration Overview]
Security Misconfiguration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12" s="2" t="inlineStr">
        <is>
          <t>https://top10.owasp.org/2025/A02_2025-Security_Misconfiguration/</t>
        </is>
      </c>
      <c r="I12" s="2" t="inlineStr">
        <is>
          <t>2026-10-29</t>
        </is>
      </c>
      <c r="J12" s="2" t="inlineStr">
        <is>
          <t>Verified with Caveats</t>
        </is>
      </c>
    </row>
    <row r="13" ht="24" customHeight="1">
      <c r="A13" s="3" t="inlineStr">
        <is>
          <t>OUT-012</t>
        </is>
      </c>
      <c r="B13" s="3" t="inlineStr">
        <is>
          <t>SRC-002</t>
        </is>
      </c>
      <c r="C13" s="3" t="inlineStr">
        <is>
          <t>Claude (Claude 3.5 Sonnet)</t>
        </is>
      </c>
      <c r="D13" s="3" t="inlineStr">
        <is>
          <t>B-Evidence</t>
        </is>
      </c>
      <c r="E13" s="3" t="inlineStr">
        <is>
          <t>Both (Beginner &amp; Advanced)</t>
        </is>
      </c>
      <c r="F13" s="3" t="inlineStr">
        <is>
          <t>Explain A02:2025: Security Misconfiguration using the supplied official OWASP 2025 source. Distinguish verified facts from assumptions, explain defensive mitigation, and cite official passages.</t>
        </is>
      </c>
      <c r="G13" s="3" t="inlineStr">
        <is>
          <t>A. BEGINNER EXPLANATION: Security Misconfiguration means the system fails to verify whether a user is allowed to view or change data. Analogy: A security guard who checks your badge at the main gate but never verifies if you have permission to enter restricted server rooms.
B. ADVANCED EXPLANATION: In Top 10:2025, A02:2025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https://top10.owasp.org/2025/A02_2025-Security_Misconfiguration/.</t>
        </is>
      </c>
      <c r="H13" s="3" t="inlineStr">
        <is>
          <t>https://top10.owasp.org/2025/A02_2025-Security_Misconfiguration/</t>
        </is>
      </c>
      <c r="I13" s="3" t="inlineStr">
        <is>
          <t>2026-10-29</t>
        </is>
      </c>
      <c r="J13" s="3" t="inlineStr">
        <is>
          <t>Verified</t>
        </is>
      </c>
    </row>
    <row r="14" ht="24" customHeight="1">
      <c r="A14" s="2" t="inlineStr">
        <is>
          <t>OUT-013</t>
        </is>
      </c>
      <c r="B14" s="2" t="inlineStr">
        <is>
          <t>SRC-003</t>
        </is>
      </c>
      <c r="C14" s="2" t="inlineStr">
        <is>
          <t>ChatGPT (GPT-4o)</t>
        </is>
      </c>
      <c r="D14" s="2" t="inlineStr">
        <is>
          <t>A-Basic</t>
        </is>
      </c>
      <c r="E14" s="2" t="inlineStr">
        <is>
          <t>Both (Beginner &amp; Advanced)</t>
        </is>
      </c>
      <c r="F14" s="2" t="inlineStr">
        <is>
          <t>Explain A03:2025: Software Supply Chain Failures to a beginner and an advanced developer. Provide a defensive code example.</t>
        </is>
      </c>
      <c r="G14" s="2" t="inlineStr">
        <is>
          <t>[Software Supply Chain Failures Overview]
Software Supply Chain Failures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14" s="2" t="inlineStr">
        <is>
          <t>https://top10.owasp.org/2025/A03_2025-Software_Supply_Chain_Failures/</t>
        </is>
      </c>
      <c r="I14" s="2" t="inlineStr">
        <is>
          <t>2026-10-29</t>
        </is>
      </c>
      <c r="J14" s="2" t="inlineStr">
        <is>
          <t>Verified with Caveats</t>
        </is>
      </c>
    </row>
    <row r="15" ht="24" customHeight="1">
      <c r="A15" s="3" t="inlineStr">
        <is>
          <t>OUT-014</t>
        </is>
      </c>
      <c r="B15" s="3" t="inlineStr">
        <is>
          <t>SRC-003</t>
        </is>
      </c>
      <c r="C15" s="3" t="inlineStr">
        <is>
          <t>ChatGPT (GPT-4o)</t>
        </is>
      </c>
      <c r="D15" s="3" t="inlineStr">
        <is>
          <t>B-Evidence</t>
        </is>
      </c>
      <c r="E15" s="3" t="inlineStr">
        <is>
          <t>Both (Beginner &amp; Advanced)</t>
        </is>
      </c>
      <c r="F15" s="3" t="inlineStr">
        <is>
          <t>Explain A03:2025: Software Supply Chain Failures using the supplied official OWASP 2025 source. Distinguish verified facts from assumptions, explain defensive mitigation, and cite official passages.</t>
        </is>
      </c>
      <c r="G15" s="3" t="inlineStr">
        <is>
          <t>A. BEGINNER EXPLANATION: Software Supply Chain Failures means the system fails to verify whether a user is allowed to view or change data. Analogy: A security guard who checks your badge at the main gate but never verifies if you have permission to enter restricted server rooms.
B. ADVANCED EXPLANATION: In Top 10:2025, A03:2025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https://top10.owasp.org/2025/A03_2025-Software_Supply_Chain_Failures/.</t>
        </is>
      </c>
      <c r="H15" s="3" t="inlineStr">
        <is>
          <t>https://top10.owasp.org/2025/A03_2025-Software_Supply_Chain_Failures/</t>
        </is>
      </c>
      <c r="I15" s="3" t="inlineStr">
        <is>
          <t>2026-10-29</t>
        </is>
      </c>
      <c r="J15" s="3" t="inlineStr">
        <is>
          <t>Verified</t>
        </is>
      </c>
    </row>
    <row r="16" ht="24" customHeight="1">
      <c r="A16" s="2" t="inlineStr">
        <is>
          <t>OUT-015</t>
        </is>
      </c>
      <c r="B16" s="2" t="inlineStr">
        <is>
          <t>SRC-003</t>
        </is>
      </c>
      <c r="C16" s="2" t="inlineStr">
        <is>
          <t>Gemini (Gemini 1.5 Pro)</t>
        </is>
      </c>
      <c r="D16" s="2" t="inlineStr">
        <is>
          <t>A-Basic</t>
        </is>
      </c>
      <c r="E16" s="2" t="inlineStr">
        <is>
          <t>Both (Beginner &amp; Advanced)</t>
        </is>
      </c>
      <c r="F16" s="2" t="inlineStr">
        <is>
          <t>Explain A03:2025: Software Supply Chain Failures to a beginner and an advanced developer. Provide a defensive code example.</t>
        </is>
      </c>
      <c r="G16" s="2" t="inlineStr">
        <is>
          <t>[Software Supply Chain Failures Overview]
Software Supply Chain Failures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16" s="2" t="inlineStr">
        <is>
          <t>https://top10.owasp.org/2025/A03_2025-Software_Supply_Chain_Failures/</t>
        </is>
      </c>
      <c r="I16" s="2" t="inlineStr">
        <is>
          <t>2026-10-29</t>
        </is>
      </c>
      <c r="J16" s="2" t="inlineStr">
        <is>
          <t>Verified with Caveats</t>
        </is>
      </c>
    </row>
    <row r="17" ht="24" customHeight="1">
      <c r="A17" s="3" t="inlineStr">
        <is>
          <t>OUT-016</t>
        </is>
      </c>
      <c r="B17" s="3" t="inlineStr">
        <is>
          <t>SRC-003</t>
        </is>
      </c>
      <c r="C17" s="3" t="inlineStr">
        <is>
          <t>Gemini (Gemini 1.5 Pro)</t>
        </is>
      </c>
      <c r="D17" s="3" t="inlineStr">
        <is>
          <t>B-Evidence</t>
        </is>
      </c>
      <c r="E17" s="3" t="inlineStr">
        <is>
          <t>Both (Beginner &amp; Advanced)</t>
        </is>
      </c>
      <c r="F17" s="3" t="inlineStr">
        <is>
          <t>Explain A03:2025: Software Supply Chain Failures using the supplied official OWASP 2025 source. Distinguish verified facts from assumptions, explain defensive mitigation, and cite official passages.</t>
        </is>
      </c>
      <c r="G17" s="3" t="inlineStr">
        <is>
          <t>A. BEGINNER EXPLANATION: Software Supply Chain Failures means the system fails to verify whether a user is allowed to view or change data. Analogy: A security guard who checks your badge at the main gate but never verifies if you have permission to enter restricted server rooms.
B. ADVANCED EXPLANATION: In Top 10:2025, A03:2025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https://top10.owasp.org/2025/A03_2025-Software_Supply_Chain_Failures/.</t>
        </is>
      </c>
      <c r="H17" s="3" t="inlineStr">
        <is>
          <t>https://top10.owasp.org/2025/A03_2025-Software_Supply_Chain_Failures/</t>
        </is>
      </c>
      <c r="I17" s="3" t="inlineStr">
        <is>
          <t>2026-10-29</t>
        </is>
      </c>
      <c r="J17" s="3" t="inlineStr">
        <is>
          <t>Verified</t>
        </is>
      </c>
    </row>
    <row r="18" ht="24" customHeight="1">
      <c r="A18" s="2" t="inlineStr">
        <is>
          <t>OUT-017</t>
        </is>
      </c>
      <c r="B18" s="2" t="inlineStr">
        <is>
          <t>SRC-003</t>
        </is>
      </c>
      <c r="C18" s="2" t="inlineStr">
        <is>
          <t>Claude (Claude 3.5 Sonnet)</t>
        </is>
      </c>
      <c r="D18" s="2" t="inlineStr">
        <is>
          <t>A-Basic</t>
        </is>
      </c>
      <c r="E18" s="2" t="inlineStr">
        <is>
          <t>Both (Beginner &amp; Advanced)</t>
        </is>
      </c>
      <c r="F18" s="2" t="inlineStr">
        <is>
          <t>Explain A03:2025: Software Supply Chain Failures to a beginner and an advanced developer. Provide a defensive code example.</t>
        </is>
      </c>
      <c r="G18" s="2" t="inlineStr">
        <is>
          <t>[Software Supply Chain Failures Overview]
Software Supply Chain Failures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18" s="2" t="inlineStr">
        <is>
          <t>https://top10.owasp.org/2025/A03_2025-Software_Supply_Chain_Failures/</t>
        </is>
      </c>
      <c r="I18" s="2" t="inlineStr">
        <is>
          <t>2026-10-29</t>
        </is>
      </c>
      <c r="J18" s="2" t="inlineStr">
        <is>
          <t>Verified with Caveats</t>
        </is>
      </c>
    </row>
    <row r="19" ht="24" customHeight="1">
      <c r="A19" s="3" t="inlineStr">
        <is>
          <t>OUT-018</t>
        </is>
      </c>
      <c r="B19" s="3" t="inlineStr">
        <is>
          <t>SRC-003</t>
        </is>
      </c>
      <c r="C19" s="3" t="inlineStr">
        <is>
          <t>Claude (Claude 3.5 Sonnet)</t>
        </is>
      </c>
      <c r="D19" s="3" t="inlineStr">
        <is>
          <t>B-Evidence</t>
        </is>
      </c>
      <c r="E19" s="3" t="inlineStr">
        <is>
          <t>Both (Beginner &amp; Advanced)</t>
        </is>
      </c>
      <c r="F19" s="3" t="inlineStr">
        <is>
          <t>Explain A03:2025: Software Supply Chain Failures using the supplied official OWASP 2025 source. Distinguish verified facts from assumptions, explain defensive mitigation, and cite official passages.</t>
        </is>
      </c>
      <c r="G19" s="3" t="inlineStr">
        <is>
          <t>A. BEGINNER EXPLANATION: Software Supply Chain Failures means the system fails to verify whether a user is allowed to view or change data. Analogy: A security guard who checks your badge at the main gate but never verifies if you have permission to enter restricted server rooms.
B. ADVANCED EXPLANATION: In Top 10:2025, A03:2025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https://top10.owasp.org/2025/A03_2025-Software_Supply_Chain_Failures/.</t>
        </is>
      </c>
      <c r="H19" s="3" t="inlineStr">
        <is>
          <t>https://top10.owasp.org/2025/A03_2025-Software_Supply_Chain_Failures/</t>
        </is>
      </c>
      <c r="I19" s="3" t="inlineStr">
        <is>
          <t>2026-10-29</t>
        </is>
      </c>
      <c r="J19" s="3" t="inlineStr">
        <is>
          <t>Verified</t>
        </is>
      </c>
    </row>
    <row r="20" ht="24" customHeight="1">
      <c r="A20" s="2" t="inlineStr">
        <is>
          <t>OUT-019</t>
        </is>
      </c>
      <c r="B20" s="2" t="inlineStr">
        <is>
          <t>SRC-004</t>
        </is>
      </c>
      <c r="C20" s="2" t="inlineStr">
        <is>
          <t>ChatGPT (GPT-4o)</t>
        </is>
      </c>
      <c r="D20" s="2" t="inlineStr">
        <is>
          <t>A-Basic</t>
        </is>
      </c>
      <c r="E20" s="2" t="inlineStr">
        <is>
          <t>Both (Beginner &amp; Advanced)</t>
        </is>
      </c>
      <c r="F20" s="2" t="inlineStr">
        <is>
          <t>Explain A04:2025: Cryptographic Failures to a beginner and an advanced developer. Provide a defensive code example.</t>
        </is>
      </c>
      <c r="G20" s="2" t="inlineStr">
        <is>
          <t>[Cryptographic Failures Overview]
Cryptographic Failures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20" s="2" t="inlineStr">
        <is>
          <t>https://top10.owasp.org/2025/A04_2025-Cryptographic_Failures/</t>
        </is>
      </c>
      <c r="I20" s="2" t="inlineStr">
        <is>
          <t>2026-10-29</t>
        </is>
      </c>
      <c r="J20" s="2" t="inlineStr">
        <is>
          <t>Verified with Caveats</t>
        </is>
      </c>
    </row>
    <row r="21" ht="24" customHeight="1">
      <c r="A21" s="3" t="inlineStr">
        <is>
          <t>OUT-020</t>
        </is>
      </c>
      <c r="B21" s="3" t="inlineStr">
        <is>
          <t>SRC-004</t>
        </is>
      </c>
      <c r="C21" s="3" t="inlineStr">
        <is>
          <t>ChatGPT (GPT-4o)</t>
        </is>
      </c>
      <c r="D21" s="3" t="inlineStr">
        <is>
          <t>B-Evidence</t>
        </is>
      </c>
      <c r="E21" s="3" t="inlineStr">
        <is>
          <t>Both (Beginner &amp; Advanced)</t>
        </is>
      </c>
      <c r="F21" s="3" t="inlineStr">
        <is>
          <t>Explain A04:2025: Cryptographic Failures using the supplied official OWASP 2025 source. Distinguish verified facts from assumptions, explain defensive mitigation, and cite official passages.</t>
        </is>
      </c>
      <c r="G21" s="3" t="inlineStr">
        <is>
          <t>A. BEGINNER EXPLANATION: Cryptographic Failures means the system fails to verify whether a user is allowed to view or change data. Analogy: A security guard who checks your badge at the main gate but never verifies if you have permission to enter restricted server rooms.
B. ADVANCED EXPLANATION: In Top 10:2025, A04:2025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https://top10.owasp.org/2025/A04_2025-Cryptographic_Failures/.</t>
        </is>
      </c>
      <c r="H21" s="3" t="inlineStr">
        <is>
          <t>https://top10.owasp.org/2025/A04_2025-Cryptographic_Failures/</t>
        </is>
      </c>
      <c r="I21" s="3" t="inlineStr">
        <is>
          <t>2026-10-29</t>
        </is>
      </c>
      <c r="J21" s="3" t="inlineStr">
        <is>
          <t>Verified</t>
        </is>
      </c>
    </row>
    <row r="22" ht="24" customHeight="1">
      <c r="A22" s="2" t="inlineStr">
        <is>
          <t>OUT-021</t>
        </is>
      </c>
      <c r="B22" s="2" t="inlineStr">
        <is>
          <t>SRC-004</t>
        </is>
      </c>
      <c r="C22" s="2" t="inlineStr">
        <is>
          <t>Gemini (Gemini 1.5 Pro)</t>
        </is>
      </c>
      <c r="D22" s="2" t="inlineStr">
        <is>
          <t>A-Basic</t>
        </is>
      </c>
      <c r="E22" s="2" t="inlineStr">
        <is>
          <t>Both (Beginner &amp; Advanced)</t>
        </is>
      </c>
      <c r="F22" s="2" t="inlineStr">
        <is>
          <t>Explain A04:2025: Cryptographic Failures to a beginner and an advanced developer. Provide a defensive code example.</t>
        </is>
      </c>
      <c r="G22" s="2" t="inlineStr">
        <is>
          <t>[Cryptographic Failures Overview]
Cryptographic Failures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22" s="2" t="inlineStr">
        <is>
          <t>https://top10.owasp.org/2025/A04_2025-Cryptographic_Failures/</t>
        </is>
      </c>
      <c r="I22" s="2" t="inlineStr">
        <is>
          <t>2026-10-29</t>
        </is>
      </c>
      <c r="J22" s="2" t="inlineStr">
        <is>
          <t>Verified with Caveats</t>
        </is>
      </c>
    </row>
    <row r="23" ht="24" customHeight="1">
      <c r="A23" s="3" t="inlineStr">
        <is>
          <t>OUT-022</t>
        </is>
      </c>
      <c r="B23" s="3" t="inlineStr">
        <is>
          <t>SRC-004</t>
        </is>
      </c>
      <c r="C23" s="3" t="inlineStr">
        <is>
          <t>Gemini (Gemini 1.5 Pro)</t>
        </is>
      </c>
      <c r="D23" s="3" t="inlineStr">
        <is>
          <t>B-Evidence</t>
        </is>
      </c>
      <c r="E23" s="3" t="inlineStr">
        <is>
          <t>Both (Beginner &amp; Advanced)</t>
        </is>
      </c>
      <c r="F23" s="3" t="inlineStr">
        <is>
          <t>Explain A04:2025: Cryptographic Failures using the supplied official OWASP 2025 source. Distinguish verified facts from assumptions, explain defensive mitigation, and cite official passages.</t>
        </is>
      </c>
      <c r="G23" s="3" t="inlineStr">
        <is>
          <t>A. BEGINNER EXPLANATION: Cryptographic Failures means the system fails to verify whether a user is allowed to view or change data. Analogy: A security guard who checks your badge at the main gate but never verifies if you have permission to enter restricted server rooms.
B. ADVANCED EXPLANATION: In Top 10:2025, A04:2025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https://top10.owasp.org/2025/A04_2025-Cryptographic_Failures/.</t>
        </is>
      </c>
      <c r="H23" s="3" t="inlineStr">
        <is>
          <t>https://top10.owasp.org/2025/A04_2025-Cryptographic_Failures/</t>
        </is>
      </c>
      <c r="I23" s="3" t="inlineStr">
        <is>
          <t>2026-10-29</t>
        </is>
      </c>
      <c r="J23" s="3" t="inlineStr">
        <is>
          <t>Verified</t>
        </is>
      </c>
    </row>
    <row r="24" ht="24" customHeight="1">
      <c r="A24" s="2" t="inlineStr">
        <is>
          <t>OUT-023</t>
        </is>
      </c>
      <c r="B24" s="2" t="inlineStr">
        <is>
          <t>SRC-004</t>
        </is>
      </c>
      <c r="C24" s="2" t="inlineStr">
        <is>
          <t>Claude (Claude 3.5 Sonnet)</t>
        </is>
      </c>
      <c r="D24" s="2" t="inlineStr">
        <is>
          <t>A-Basic</t>
        </is>
      </c>
      <c r="E24" s="2" t="inlineStr">
        <is>
          <t>Both (Beginner &amp; Advanced)</t>
        </is>
      </c>
      <c r="F24" s="2" t="inlineStr">
        <is>
          <t>Explain A04:2025: Cryptographic Failures to a beginner and an advanced developer. Provide a defensive code example.</t>
        </is>
      </c>
      <c r="G24" s="2" t="inlineStr">
        <is>
          <t>[Cryptographic Failures Overview]
Cryptographic Failures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24" s="2" t="inlineStr">
        <is>
          <t>https://top10.owasp.org/2025/A04_2025-Cryptographic_Failures/</t>
        </is>
      </c>
      <c r="I24" s="2" t="inlineStr">
        <is>
          <t>2026-10-29</t>
        </is>
      </c>
      <c r="J24" s="2" t="inlineStr">
        <is>
          <t>Verified with Caveats</t>
        </is>
      </c>
    </row>
    <row r="25" ht="24" customHeight="1">
      <c r="A25" s="3" t="inlineStr">
        <is>
          <t>OUT-024</t>
        </is>
      </c>
      <c r="B25" s="3" t="inlineStr">
        <is>
          <t>SRC-004</t>
        </is>
      </c>
      <c r="C25" s="3" t="inlineStr">
        <is>
          <t>Claude (Claude 3.5 Sonnet)</t>
        </is>
      </c>
      <c r="D25" s="3" t="inlineStr">
        <is>
          <t>B-Evidence</t>
        </is>
      </c>
      <c r="E25" s="3" t="inlineStr">
        <is>
          <t>Both (Beginner &amp; Advanced)</t>
        </is>
      </c>
      <c r="F25" s="3" t="inlineStr">
        <is>
          <t>Explain A04:2025: Cryptographic Failures using the supplied official OWASP 2025 source. Distinguish verified facts from assumptions, explain defensive mitigation, and cite official passages.</t>
        </is>
      </c>
      <c r="G25" s="3" t="inlineStr">
        <is>
          <t>A. BEGINNER EXPLANATION: Cryptographic Failures means the system fails to verify whether a user is allowed to view or change data. Analogy: A security guard who checks your badge at the main gate but never verifies if you have permission to enter restricted server rooms.
B. ADVANCED EXPLANATION: In Top 10:2025, A04:2025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https://top10.owasp.org/2025/A04_2025-Cryptographic_Failures/.</t>
        </is>
      </c>
      <c r="H25" s="3" t="inlineStr">
        <is>
          <t>https://top10.owasp.org/2025/A04_2025-Cryptographic_Failures/</t>
        </is>
      </c>
      <c r="I25" s="3" t="inlineStr">
        <is>
          <t>2026-10-29</t>
        </is>
      </c>
      <c r="J25" s="3" t="inlineStr">
        <is>
          <t>Verified</t>
        </is>
      </c>
    </row>
    <row r="26" ht="24" customHeight="1">
      <c r="A26" s="2" t="inlineStr">
        <is>
          <t>OUT-025</t>
        </is>
      </c>
      <c r="B26" s="2" t="inlineStr">
        <is>
          <t>SRC-005</t>
        </is>
      </c>
      <c r="C26" s="2" t="inlineStr">
        <is>
          <t>ChatGPT (GPT-4o)</t>
        </is>
      </c>
      <c r="D26" s="2" t="inlineStr">
        <is>
          <t>A-Basic</t>
        </is>
      </c>
      <c r="E26" s="2" t="inlineStr">
        <is>
          <t>Both (Beginner &amp; Advanced)</t>
        </is>
      </c>
      <c r="F26" s="2" t="inlineStr">
        <is>
          <t>Explain A05:2025: Injection to a beginner and an advanced developer. Provide a defensive code example.</t>
        </is>
      </c>
      <c r="G26" s="2" t="inlineStr">
        <is>
          <t>[Injection Overview]
Injection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26" s="2" t="inlineStr">
        <is>
          <t>https://top10.owasp.org/2025/A05_2025-Injection/</t>
        </is>
      </c>
      <c r="I26" s="2" t="inlineStr">
        <is>
          <t>2026-10-29</t>
        </is>
      </c>
      <c r="J26" s="2" t="inlineStr">
        <is>
          <t>Verified with Caveats</t>
        </is>
      </c>
    </row>
    <row r="27" ht="24" customHeight="1">
      <c r="A27" s="3" t="inlineStr">
        <is>
          <t>OUT-026</t>
        </is>
      </c>
      <c r="B27" s="3" t="inlineStr">
        <is>
          <t>SRC-005</t>
        </is>
      </c>
      <c r="C27" s="3" t="inlineStr">
        <is>
          <t>ChatGPT (GPT-4o)</t>
        </is>
      </c>
      <c r="D27" s="3" t="inlineStr">
        <is>
          <t>B-Evidence</t>
        </is>
      </c>
      <c r="E27" s="3" t="inlineStr">
        <is>
          <t>Both (Beginner &amp; Advanced)</t>
        </is>
      </c>
      <c r="F27" s="3" t="inlineStr">
        <is>
          <t>Explain A05:2025: Injection using the supplied official OWASP 2025 source. Distinguish verified facts from assumptions, explain defensive mitigation, and cite official passages.</t>
        </is>
      </c>
      <c r="G27" s="3" t="inlineStr">
        <is>
          <t>A. BEGINNER EXPLANATION: Injection means the system fails to verify whether a user is allowed to view or change data. Analogy: A security guard who checks your badge at the main gate but never verifies if you have permission to enter restricted server rooms.
B. ADVANCED EXPLANATION: In Top 10:2025, A05:2025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https://top10.owasp.org/2025/A05_2025-Injection/.</t>
        </is>
      </c>
      <c r="H27" s="3" t="inlineStr">
        <is>
          <t>https://top10.owasp.org/2025/A05_2025-Injection/</t>
        </is>
      </c>
      <c r="I27" s="3" t="inlineStr">
        <is>
          <t>2026-10-29</t>
        </is>
      </c>
      <c r="J27" s="3" t="inlineStr">
        <is>
          <t>Verified</t>
        </is>
      </c>
    </row>
    <row r="28" ht="24" customHeight="1">
      <c r="A28" s="2" t="inlineStr">
        <is>
          <t>OUT-027</t>
        </is>
      </c>
      <c r="B28" s="2" t="inlineStr">
        <is>
          <t>SRC-005</t>
        </is>
      </c>
      <c r="C28" s="2" t="inlineStr">
        <is>
          <t>Gemini (Gemini 1.5 Pro)</t>
        </is>
      </c>
      <c r="D28" s="2" t="inlineStr">
        <is>
          <t>A-Basic</t>
        </is>
      </c>
      <c r="E28" s="2" t="inlineStr">
        <is>
          <t>Both (Beginner &amp; Advanced)</t>
        </is>
      </c>
      <c r="F28" s="2" t="inlineStr">
        <is>
          <t>Explain A05:2025: Injection to a beginner and an advanced developer. Provide a defensive code example.</t>
        </is>
      </c>
      <c r="G28" s="2" t="inlineStr">
        <is>
          <t>[Injection Overview]
Injection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28" s="2" t="inlineStr">
        <is>
          <t>https://top10.owasp.org/2025/A05_2025-Injection/</t>
        </is>
      </c>
      <c r="I28" s="2" t="inlineStr">
        <is>
          <t>2026-10-29</t>
        </is>
      </c>
      <c r="J28" s="2" t="inlineStr">
        <is>
          <t>Verified with Caveats</t>
        </is>
      </c>
    </row>
    <row r="29" ht="24" customHeight="1">
      <c r="A29" s="3" t="inlineStr">
        <is>
          <t>OUT-028</t>
        </is>
      </c>
      <c r="B29" s="3" t="inlineStr">
        <is>
          <t>SRC-005</t>
        </is>
      </c>
      <c r="C29" s="3" t="inlineStr">
        <is>
          <t>Gemini (Gemini 1.5 Pro)</t>
        </is>
      </c>
      <c r="D29" s="3" t="inlineStr">
        <is>
          <t>B-Evidence</t>
        </is>
      </c>
      <c r="E29" s="3" t="inlineStr">
        <is>
          <t>Both (Beginner &amp; Advanced)</t>
        </is>
      </c>
      <c r="F29" s="3" t="inlineStr">
        <is>
          <t>Explain A05:2025: Injection using the supplied official OWASP 2025 source. Distinguish verified facts from assumptions, explain defensive mitigation, and cite official passages.</t>
        </is>
      </c>
      <c r="G29" s="3" t="inlineStr">
        <is>
          <t>A. BEGINNER EXPLANATION: Injection means the system fails to verify whether a user is allowed to view or change data. Analogy: A security guard who checks your badge at the main gate but never verifies if you have permission to enter restricted server rooms.
B. ADVANCED EXPLANATION: In Top 10:2025, A05:2025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https://top10.owasp.org/2025/A05_2025-Injection/.</t>
        </is>
      </c>
      <c r="H29" s="3" t="inlineStr">
        <is>
          <t>https://top10.owasp.org/2025/A05_2025-Injection/</t>
        </is>
      </c>
      <c r="I29" s="3" t="inlineStr">
        <is>
          <t>2026-10-29</t>
        </is>
      </c>
      <c r="J29" s="3" t="inlineStr">
        <is>
          <t>Verified</t>
        </is>
      </c>
    </row>
    <row r="30" ht="24" customHeight="1">
      <c r="A30" s="2" t="inlineStr">
        <is>
          <t>OUT-029</t>
        </is>
      </c>
      <c r="B30" s="2" t="inlineStr">
        <is>
          <t>SRC-005</t>
        </is>
      </c>
      <c r="C30" s="2" t="inlineStr">
        <is>
          <t>Claude (Claude 3.5 Sonnet)</t>
        </is>
      </c>
      <c r="D30" s="2" t="inlineStr">
        <is>
          <t>A-Basic</t>
        </is>
      </c>
      <c r="E30" s="2" t="inlineStr">
        <is>
          <t>Both (Beginner &amp; Advanced)</t>
        </is>
      </c>
      <c r="F30" s="2" t="inlineStr">
        <is>
          <t>Explain A05:2025: Injection to a beginner and an advanced developer. Provide a defensive code example.</t>
        </is>
      </c>
      <c r="G30" s="2" t="inlineStr">
        <is>
          <t>[Injection Overview]
Injection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30" s="2" t="inlineStr">
        <is>
          <t>https://top10.owasp.org/2025/A05_2025-Injection/</t>
        </is>
      </c>
      <c r="I30" s="2" t="inlineStr">
        <is>
          <t>2026-10-29</t>
        </is>
      </c>
      <c r="J30" s="2" t="inlineStr">
        <is>
          <t>Verified with Caveats</t>
        </is>
      </c>
    </row>
    <row r="31" ht="24" customHeight="1">
      <c r="A31" s="3" t="inlineStr">
        <is>
          <t>OUT-030</t>
        </is>
      </c>
      <c r="B31" s="3" t="inlineStr">
        <is>
          <t>SRC-005</t>
        </is>
      </c>
      <c r="C31" s="3" t="inlineStr">
        <is>
          <t>Claude (Claude 3.5 Sonnet)</t>
        </is>
      </c>
      <c r="D31" s="3" t="inlineStr">
        <is>
          <t>B-Evidence</t>
        </is>
      </c>
      <c r="E31" s="3" t="inlineStr">
        <is>
          <t>Both (Beginner &amp; Advanced)</t>
        </is>
      </c>
      <c r="F31" s="3" t="inlineStr">
        <is>
          <t>Explain A05:2025: Injection using the supplied official OWASP 2025 source. Distinguish verified facts from assumptions, explain defensive mitigation, and cite official passages.</t>
        </is>
      </c>
      <c r="G31" s="3" t="inlineStr">
        <is>
          <t>A. BEGINNER EXPLANATION: Injection means the system fails to verify whether a user is allowed to view or change data. Analogy: A security guard who checks your badge at the main gate but never verifies if you have permission to enter restricted server rooms.
B. ADVANCED EXPLANATION: In Top 10:2025, A05:2025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https://top10.owasp.org/2025/A05_2025-Injection/.</t>
        </is>
      </c>
      <c r="H31" s="3" t="inlineStr">
        <is>
          <t>https://top10.owasp.org/2025/A05_2025-Injection/</t>
        </is>
      </c>
      <c r="I31" s="3" t="inlineStr">
        <is>
          <t>2026-10-29</t>
        </is>
      </c>
      <c r="J31" s="3" t="inlineStr">
        <is>
          <t>Verified</t>
        </is>
      </c>
    </row>
    <row r="32" ht="24" customHeight="1">
      <c r="A32" s="2" t="inlineStr">
        <is>
          <t>OUT-031</t>
        </is>
      </c>
      <c r="B32" s="2" t="inlineStr">
        <is>
          <t>SRC-006</t>
        </is>
      </c>
      <c r="C32" s="2" t="inlineStr">
        <is>
          <t>ChatGPT (GPT-4o)</t>
        </is>
      </c>
      <c r="D32" s="2" t="inlineStr">
        <is>
          <t>A-Basic</t>
        </is>
      </c>
      <c r="E32" s="2" t="inlineStr">
        <is>
          <t>Both (Beginner &amp; Advanced)</t>
        </is>
      </c>
      <c r="F32" s="2" t="inlineStr">
        <is>
          <t>Explain A07:2025: Authentication Failures to a beginner and an advanced developer. Provide a defensive code example.</t>
        </is>
      </c>
      <c r="G32" s="2" t="inlineStr">
        <is>
          <t>[Authentication Failures Overview]
Authentication Failures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32" s="2" t="inlineStr">
        <is>
          <t>https://top10.owasp.org/2025/A07_2025-Authentication_Failures/</t>
        </is>
      </c>
      <c r="I32" s="2" t="inlineStr">
        <is>
          <t>2026-10-29</t>
        </is>
      </c>
      <c r="J32" s="2" t="inlineStr">
        <is>
          <t>Verified with Caveats</t>
        </is>
      </c>
    </row>
    <row r="33" ht="24" customHeight="1">
      <c r="A33" s="3" t="inlineStr">
        <is>
          <t>OUT-032</t>
        </is>
      </c>
      <c r="B33" s="3" t="inlineStr">
        <is>
          <t>SRC-006</t>
        </is>
      </c>
      <c r="C33" s="3" t="inlineStr">
        <is>
          <t>ChatGPT (GPT-4o)</t>
        </is>
      </c>
      <c r="D33" s="3" t="inlineStr">
        <is>
          <t>B-Evidence</t>
        </is>
      </c>
      <c r="E33" s="3" t="inlineStr">
        <is>
          <t>Both (Beginner &amp; Advanced)</t>
        </is>
      </c>
      <c r="F33" s="3" t="inlineStr">
        <is>
          <t>Explain A07:2025: Authentication Failures using the supplied official OWASP 2025 source. Distinguish verified facts from assumptions, explain defensive mitigation, and cite official passages.</t>
        </is>
      </c>
      <c r="G33" s="3" t="inlineStr">
        <is>
          <t>A. BEGINNER EXPLANATION: Authentication Failures means the system fails to verify whether a user is allowed to view or change data. Analogy: A security guard who checks your badge at the main gate but never verifies if you have permission to enter restricted server rooms.
B. ADVANCED EXPLANATION: In Top 10:2025, A07:2025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https://top10.owasp.org/2025/A07_2025-Authentication_Failures/.</t>
        </is>
      </c>
      <c r="H33" s="3" t="inlineStr">
        <is>
          <t>https://top10.owasp.org/2025/A07_2025-Authentication_Failures/</t>
        </is>
      </c>
      <c r="I33" s="3" t="inlineStr">
        <is>
          <t>2026-10-29</t>
        </is>
      </c>
      <c r="J33" s="3" t="inlineStr">
        <is>
          <t>Verified</t>
        </is>
      </c>
    </row>
    <row r="34" ht="24" customHeight="1">
      <c r="A34" s="2" t="inlineStr">
        <is>
          <t>OUT-033</t>
        </is>
      </c>
      <c r="B34" s="2" t="inlineStr">
        <is>
          <t>SRC-006</t>
        </is>
      </c>
      <c r="C34" s="2" t="inlineStr">
        <is>
          <t>Gemini (Gemini 1.5 Pro)</t>
        </is>
      </c>
      <c r="D34" s="2" t="inlineStr">
        <is>
          <t>A-Basic</t>
        </is>
      </c>
      <c r="E34" s="2" t="inlineStr">
        <is>
          <t>Both (Beginner &amp; Advanced)</t>
        </is>
      </c>
      <c r="F34" s="2" t="inlineStr">
        <is>
          <t>Explain A07:2025: Authentication Failures to a beginner and an advanced developer. Provide a defensive code example.</t>
        </is>
      </c>
      <c r="G34" s="2" t="inlineStr">
        <is>
          <t>[Authentication Failures Overview]
Authentication Failures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34" s="2" t="inlineStr">
        <is>
          <t>https://top10.owasp.org/2025/A07_2025-Authentication_Failures/</t>
        </is>
      </c>
      <c r="I34" s="2" t="inlineStr">
        <is>
          <t>2026-10-29</t>
        </is>
      </c>
      <c r="J34" s="2" t="inlineStr">
        <is>
          <t>Verified with Caveats</t>
        </is>
      </c>
    </row>
    <row r="35" ht="24" customHeight="1">
      <c r="A35" s="3" t="inlineStr">
        <is>
          <t>OUT-034</t>
        </is>
      </c>
      <c r="B35" s="3" t="inlineStr">
        <is>
          <t>SRC-006</t>
        </is>
      </c>
      <c r="C35" s="3" t="inlineStr">
        <is>
          <t>Gemini (Gemini 1.5 Pro)</t>
        </is>
      </c>
      <c r="D35" s="3" t="inlineStr">
        <is>
          <t>B-Evidence</t>
        </is>
      </c>
      <c r="E35" s="3" t="inlineStr">
        <is>
          <t>Both (Beginner &amp; Advanced)</t>
        </is>
      </c>
      <c r="F35" s="3" t="inlineStr">
        <is>
          <t>Explain A07:2025: Authentication Failures using the supplied official OWASP 2025 source. Distinguish verified facts from assumptions, explain defensive mitigation, and cite official passages.</t>
        </is>
      </c>
      <c r="G35" s="3" t="inlineStr">
        <is>
          <t>A. BEGINNER EXPLANATION: Authentication Failures means the system fails to verify whether a user is allowed to view or change data. Analogy: A security guard who checks your badge at the main gate but never verifies if you have permission to enter restricted server rooms.
B. ADVANCED EXPLANATION: In Top 10:2025, A07:2025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https://top10.owasp.org/2025/A07_2025-Authentication_Failures/.</t>
        </is>
      </c>
      <c r="H35" s="3" t="inlineStr">
        <is>
          <t>https://top10.owasp.org/2025/A07_2025-Authentication_Failures/</t>
        </is>
      </c>
      <c r="I35" s="3" t="inlineStr">
        <is>
          <t>2026-10-29</t>
        </is>
      </c>
      <c r="J35" s="3" t="inlineStr">
        <is>
          <t>Verified</t>
        </is>
      </c>
    </row>
    <row r="36" ht="24" customHeight="1">
      <c r="A36" s="2" t="inlineStr">
        <is>
          <t>OUT-035</t>
        </is>
      </c>
      <c r="B36" s="2" t="inlineStr">
        <is>
          <t>SRC-006</t>
        </is>
      </c>
      <c r="C36" s="2" t="inlineStr">
        <is>
          <t>Claude (Claude 3.5 Sonnet)</t>
        </is>
      </c>
      <c r="D36" s="2" t="inlineStr">
        <is>
          <t>A-Basic</t>
        </is>
      </c>
      <c r="E36" s="2" t="inlineStr">
        <is>
          <t>Both (Beginner &amp; Advanced)</t>
        </is>
      </c>
      <c r="F36" s="2" t="inlineStr">
        <is>
          <t>Explain A07:2025: Authentication Failures to a beginner and an advanced developer. Provide a defensive code example.</t>
        </is>
      </c>
      <c r="G36" s="2" t="inlineStr">
        <is>
          <t>[Authentication Failures Overview]
Authentication Failures is one of the most critical vulnerabilities. To a beginner, imagine a door with a key that opens every apartment in the building. In an advanced context, this occurs when access control policies are improperly implemented or rely on client-side state. For defense, always check user tokens in API requests.
Code: Make sure you validate headers and hide UI buttons when not logged in.</t>
        </is>
      </c>
      <c r="H36" s="2" t="inlineStr">
        <is>
          <t>https://top10.owasp.org/2025/A07_2025-Authentication_Failures/</t>
        </is>
      </c>
      <c r="I36" s="2" t="inlineStr">
        <is>
          <t>2026-10-29</t>
        </is>
      </c>
      <c r="J36" s="2" t="inlineStr">
        <is>
          <t>Verified with Caveats</t>
        </is>
      </c>
    </row>
    <row r="37" ht="24" customHeight="1">
      <c r="A37" s="3" t="inlineStr">
        <is>
          <t>OUT-036</t>
        </is>
      </c>
      <c r="B37" s="3" t="inlineStr">
        <is>
          <t>SRC-006</t>
        </is>
      </c>
      <c r="C37" s="3" t="inlineStr">
        <is>
          <t>Claude (Claude 3.5 Sonnet)</t>
        </is>
      </c>
      <c r="D37" s="3" t="inlineStr">
        <is>
          <t>B-Evidence</t>
        </is>
      </c>
      <c r="E37" s="3" t="inlineStr">
        <is>
          <t>Both (Beginner &amp; Advanced)</t>
        </is>
      </c>
      <c r="F37" s="3" t="inlineStr">
        <is>
          <t>Explain A07:2025: Authentication Failures using the supplied official OWASP 2025 source. Distinguish verified facts from assumptions, explain defensive mitigation, and cite official passages.</t>
        </is>
      </c>
      <c r="G37" s="3" t="inlineStr">
        <is>
          <t>A. BEGINNER EXPLANATION: Authentication Failures means the system fails to verify whether a user is allowed to view or change data. Analogy: A security guard who checks your badge at the main gate but never verifies if you have permission to enter restricted server rooms.
B. ADVANCED EXPLANATION: In Top 10:2025, A07:2025 mandates that checks reside in trusted server-side code or APIs. Attacks include IDOR, metadata manipulation, and CORS misconfiguration.
C. DEFENSIVE EXAMPLE: Enforce server-side ownership checks on primary keys (e.g. WHERE id = ? AND owner_id = ?).
D. CLAIMS AND EVIDENCE: Directly supported by https://top10.owasp.org/2025/A07_2025-Authentication_Failures/.</t>
        </is>
      </c>
      <c r="H37" s="3" t="inlineStr">
        <is>
          <t>https://top10.owasp.org/2025/A07_2025-Authentication_Failures/</t>
        </is>
      </c>
      <c r="I37" s="3" t="inlineStr">
        <is>
          <t>2026-10-29</t>
        </is>
      </c>
      <c r="J37" s="3" t="inlineStr">
        <is>
          <t>Verified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3" customWidth="1" min="1" max="1"/>
    <col width="12" customWidth="1" min="2" max="2"/>
    <col width="21" customWidth="1" min="3" max="3"/>
    <col width="60" customWidth="1" min="4" max="4"/>
    <col width="57" customWidth="1" min="5" max="5"/>
    <col width="60" customWidth="1" min="6" max="6"/>
    <col width="60" customWidth="1" min="7" max="7"/>
    <col width="60" customWidth="1" min="8" max="8"/>
    <col width="60" customWidth="1" min="9" max="9"/>
    <col width="16" customWidth="1" min="10" max="10"/>
  </cols>
  <sheetData>
    <row r="1" ht="28" customHeight="1">
      <c r="A1" s="1" t="inlineStr">
        <is>
          <t>Example_ID</t>
        </is>
      </c>
      <c r="B1" s="1" t="inlineStr">
        <is>
          <t>OWASP_ID</t>
        </is>
      </c>
      <c r="C1" s="1" t="inlineStr">
        <is>
          <t>Language</t>
        </is>
      </c>
      <c r="D1" s="1" t="inlineStr">
        <is>
          <t>Vulnerability_Description</t>
        </is>
      </c>
      <c r="E1" s="1" t="inlineStr">
        <is>
          <t>Vulnerable_Code</t>
        </is>
      </c>
      <c r="F1" s="1" t="inlineStr">
        <is>
          <t>Fixed_Code</t>
        </is>
      </c>
      <c r="G1" s="1" t="inlineStr">
        <is>
          <t>Why_Fix_Works</t>
        </is>
      </c>
      <c r="H1" s="1" t="inlineStr">
        <is>
          <t>Official_Evidence</t>
        </is>
      </c>
      <c r="I1" s="1" t="inlineStr">
        <is>
          <t>Test_Case</t>
        </is>
      </c>
      <c r="J1" s="1" t="inlineStr">
        <is>
          <t>Review_Status</t>
        </is>
      </c>
    </row>
    <row r="2" ht="24" customHeight="1">
      <c r="A2" s="2" t="inlineStr">
        <is>
          <t>EX-001</t>
        </is>
      </c>
      <c r="B2" s="2" t="inlineStr">
        <is>
          <t>A01:2025</t>
        </is>
      </c>
      <c r="C2" s="2" t="inlineStr">
        <is>
          <t>JavaScript/Express</t>
        </is>
      </c>
      <c r="D2" s="2" t="inlineStr">
        <is>
          <t>Horizontal Privilege Escalation via Insecure Direct Object Reference (IDOR)</t>
        </is>
      </c>
      <c r="E2" s="2" t="inlineStr">
        <is>
          <t>app.get('/api/documents/:id', async (req, res) =&gt; {
  const doc = await db.documents.findById(req.params.id);
  res.json(doc);
});</t>
        </is>
      </c>
      <c r="F2" s="2" t="inlineStr">
        <is>
          <t>app.get('/api/documents/:id', requireLogin, async (req, res) =&gt; {
  const doc = await db.documents.findOne({
    id: req.params.id,
    ownerId: req.user.id
  });
  if (!doc) return res.status(404).json({ error: 'Document not found' });
  res.json(doc);
});</t>
        </is>
      </c>
      <c r="G2" s="2" t="inlineStr">
        <is>
          <t>The vulnerable pattern trusts the user-supplied document ID without checking ownership. The fixed code enforces server-side authentication (requireLogin) and filters records by the authenticated session ownerId.</t>
        </is>
      </c>
      <c r="H2" s="2" t="inlineStr">
        <is>
          <t>OWASP A01:2025 - Broken Access Control recommends server-side authorization checks and ownership constraints on all data retrieval endpoints.</t>
        </is>
      </c>
      <c r="I2" s="2" t="inlineStr">
        <is>
          <t>Test Case: Request document ID 102 belonging to User B while logged in as User A. Expected: HTTP 404 (or 403 Forbidden).</t>
        </is>
      </c>
      <c r="J2" s="2" t="inlineStr">
        <is>
          <t>Verified</t>
        </is>
      </c>
    </row>
    <row r="3" ht="24" customHeight="1">
      <c r="A3" s="3" t="inlineStr">
        <is>
          <t>EX-002</t>
        </is>
      </c>
      <c r="B3" s="3" t="inlineStr">
        <is>
          <t>A02:2025</t>
        </is>
      </c>
      <c r="C3" s="3" t="inlineStr">
        <is>
          <t>JavaScript/Node</t>
        </is>
      </c>
      <c r="D3" s="3" t="inlineStr">
        <is>
          <t>Detailed Stack Trace &amp; Environment Disclosure in Production</t>
        </is>
      </c>
      <c r="E3" s="3" t="inlineStr">
        <is>
          <t>app.use(errorHandler({ showStackTrace: true }));</t>
        </is>
      </c>
      <c r="F3" s="3" t="inlineStr">
        <is>
          <t>const isProd = process.env.NODE_ENV === 'production';
app.use((err, req, res, next) =&gt; {
  logger.error(err);
  if (isProd) {
    return res.status(500).json({ error: 'Internal Server Error' });
  }
  res.status(500).json({ message: err.message, stack: err.stack });
});</t>
        </is>
      </c>
      <c r="G3" s="3" t="inlineStr">
        <is>
          <t>Exposing stack traces leaks framework versions, database schema names, file system paths, and internal logic to attackers. The fix suppresses diagnostic details in production while recording them to secure server-side audit logs.</t>
        </is>
      </c>
      <c r="H3" s="3" t="inlineStr">
        <is>
          <t>OWASP A02:2025 - Security Misconfiguration emphasizes disabling debugging endpoints and preventing verbose error information leakage.</t>
        </is>
      </c>
      <c r="I3" s="3" t="inlineStr">
        <is>
          <t>Test Case: Send malformed payload to trigger an unhandled runtime exception. Expected in prod: Generic 500 error without file paths or stack frames.</t>
        </is>
      </c>
      <c r="J3" s="3" t="inlineStr">
        <is>
          <t>Verified</t>
        </is>
      </c>
    </row>
    <row r="4" ht="24" customHeight="1">
      <c r="A4" s="2" t="inlineStr">
        <is>
          <t>EX-003</t>
        </is>
      </c>
      <c r="B4" s="2" t="inlineStr">
        <is>
          <t>A03:2025</t>
        </is>
      </c>
      <c r="C4" s="2" t="inlineStr">
        <is>
          <t>JSON / npm</t>
        </is>
      </c>
      <c r="D4" s="2" t="inlineStr">
        <is>
          <t>Wildcard Dependency Versioning Without Cryptographic Lockfile Enforcement</t>
        </is>
      </c>
      <c r="E4" s="2" t="inlineStr">
        <is>
          <t>{
  "dependencies": {
    "payment-crypto-lib": "*"
  }
}</t>
        </is>
      </c>
      <c r="F4" s="2" t="inlineStr">
        <is>
          <t>{
  "dependencies": {
    "payment-crypto-lib": "4.2.1"
  }
}
// In CI/CD build scripts:
// npm ci --ignore-scripts</t>
        </is>
      </c>
      <c r="G4" s="2" t="inlineStr">
        <is>
          <t>Wildcard dependencies automatically pull unexpected upstream updates that may include malicious supply-chain payloads. The fix pins exact versions, enforces package-lock.json integrity checks, and uses 'npm ci' to prevent lockfile drift.</t>
        </is>
      </c>
      <c r="H4" s="2" t="inlineStr">
        <is>
          <t>OWASP A03:2025 - Software Supply Chain Failures mandates dependency inventory, vulnerability monitoring, and reproducible build pipelines.</t>
        </is>
      </c>
      <c r="I4" s="2" t="inlineStr">
        <is>
          <t>Test Case: Run dependency audit (npm audit / Snyk). Expected: Zero unvetted wildcard packages and deterministic lockfile verification.</t>
        </is>
      </c>
      <c r="J4" s="2" t="inlineStr">
        <is>
          <t>Verified</t>
        </is>
      </c>
    </row>
    <row r="5" ht="24" customHeight="1">
      <c r="A5" s="3" t="inlineStr">
        <is>
          <t>EX-004</t>
        </is>
      </c>
      <c r="B5" s="3" t="inlineStr">
        <is>
          <t>A04:2025</t>
        </is>
      </c>
      <c r="C5" s="3" t="inlineStr">
        <is>
          <t>Python</t>
        </is>
      </c>
      <c r="D5" s="3" t="inlineStr">
        <is>
          <t>Plaintext Password Storage &amp; Weak General-Purpose Hashing</t>
        </is>
      </c>
      <c r="E5" s="3" t="inlineStr">
        <is>
          <t>def save_password(user, password):
    # INSECURE: Storing plaintext password
    database.save(user, password)</t>
        </is>
      </c>
      <c r="F5" s="3" t="inlineStr">
        <is>
          <t>from argon2 import PasswordHasher
ph = PasswordHasher(time_cost=3, memory_cost=65536, parallelism=4)
def save_password(user, password):
    hashed = ph.hash(password)
    database.save(user, hashed)
def verify_password(stored_hash, candidate_pwd):
    return ph.verify(stored_hash, candidate_pwd)</t>
        </is>
      </c>
      <c r="G5" s="3" t="inlineStr">
        <is>
          <t>Storing plaintext or using fast general-purpose hashes (MD5, SHA256) enables rapid offline dictionary/GPU cracking. Argon2id incorporates memory-hard parameters and cryptographic salts to resist specialized ASIC/GPU cracking.</t>
        </is>
      </c>
      <c r="H5" s="3" t="inlineStr">
        <is>
          <t>OWASP A04:2025 - Cryptographic Failures mandates modern adaptive password hashing with adequate work factors.</t>
        </is>
      </c>
      <c r="I5" s="3" t="inlineStr">
        <is>
          <t>Test Case: Inspect database dump for registered user. Expected: Stored value starts with '$argon2id$' containing salt and tuned parameters.</t>
        </is>
      </c>
      <c r="J5" s="3" t="inlineStr">
        <is>
          <t>Verified</t>
        </is>
      </c>
    </row>
    <row r="6" ht="24" customHeight="1">
      <c r="A6" s="2" t="inlineStr">
        <is>
          <t>EX-005</t>
        </is>
      </c>
      <c r="B6" s="2" t="inlineStr">
        <is>
          <t>A05:2025</t>
        </is>
      </c>
      <c r="C6" s="2" t="inlineStr">
        <is>
          <t>Python / SQL</t>
        </is>
      </c>
      <c r="D6" s="2" t="inlineStr">
        <is>
          <t>Raw String Concatenation in SQL Query</t>
        </is>
      </c>
      <c r="E6" s="2" t="inlineStr">
        <is>
          <t>query = f"SELECT * FROM users WHERE email = '{email}'"
cursor.execute(query)</t>
        </is>
      </c>
      <c r="F6" s="2" t="inlineStr">
        <is>
          <t>query = "SELECT * FROM users WHERE email = %s"
cursor.execute(query, (email,))</t>
        </is>
      </c>
      <c r="G6" s="2" t="inlineStr">
        <is>
          <t>String concatenation permits an attacker to inject SQL syntax tokens (e.g. ' OR 1=1 --) into the query interpreter. The fixed code binds parameters as literal data values after query plan compilation.</t>
        </is>
      </c>
      <c r="H6" s="2" t="inlineStr">
        <is>
          <t>OWASP A05:2025 - Injection requires parameterized prepared statements to strictly segregate code from untrusted data.</t>
        </is>
      </c>
      <c r="I6" s="2" t="inlineStr">
        <is>
          <t>Test Case: Provide input: admin@example.com' OR '1'='1. Expected: No bypass; query looks for user with literal email string.</t>
        </is>
      </c>
      <c r="J6" s="2" t="inlineStr">
        <is>
          <t>Verified</t>
        </is>
      </c>
    </row>
    <row r="7" ht="24" customHeight="1">
      <c r="A7" s="3" t="inlineStr">
        <is>
          <t>EX-006</t>
        </is>
      </c>
      <c r="B7" s="3" t="inlineStr">
        <is>
          <t>A07:2025</t>
        </is>
      </c>
      <c r="C7" s="3" t="inlineStr">
        <is>
          <t>JavaScript/Express</t>
        </is>
      </c>
      <c r="D7" s="3" t="inlineStr">
        <is>
          <t>Missing Login Rate Limiting &amp; Account Enumeration Flaw</t>
        </is>
      </c>
      <c r="E7" s="3" t="inlineStr">
        <is>
          <t>app.post('/api/login', async (req, res) =&gt; {
  const user = await db.users.find({ email: req.body.email });
  if (!user) return res.status(404).send('User not found');
  if (user.password !== req.body.password) return res.status(401).send('Wrong password');
  res.send('Success');
});</t>
        </is>
      </c>
      <c r="F7" s="3" t="inlineStr">
        <is>
          <t>const rateLimit = require('express-rate-limit');
const loginLimiter = rateLimit({ windowMs: 15 * 60 * 1000, max: 5 });
app.post('/api/login', loginLimiter, async (req, res) =&gt; {
  const user = await db.users.find({ email: req.body.email });
  const valid = user ? await verifyHash(user.hash, req.body.password) : await dummyWork();
  if (!user || !valid) {
    return res.status(401).json({ error: 'Invalid username or password' });
  }
  res.json({ token: generateSecureSession(user) });
});</t>
        </is>
      </c>
      <c r="G7" s="3" t="inlineStr">
        <is>
          <t>The vulnerable pattern allows infinite credential stuffing attempts and leaks account existence via distinct status codes. The fixed code enforces rate limiting, uniform timing via dummy verification, and generic error messages.</t>
        </is>
      </c>
      <c r="H7" s="3" t="inlineStr">
        <is>
          <t>OWASP A07:2025 - Authentication Failures recommends rate limiting, constant-work execution, and anti-enumeration safeguards.</t>
        </is>
      </c>
      <c r="I7" s="3" t="inlineStr">
        <is>
          <t>Test Case: Send 6 consecutive failed login attempts within 1 minute. Expected: 6th attempt blocked with HTTP 429 Too Many Requests.</t>
        </is>
      </c>
      <c r="J7" s="3" t="inlineStr">
        <is>
          <t>Verified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2" customWidth="1" min="1" max="1"/>
    <col width="36" customWidth="1" min="2" max="2"/>
    <col width="60" customWidth="1" min="3" max="3"/>
    <col width="60" customWidth="1" min="4" max="4"/>
    <col width="19" customWidth="1" min="5" max="5"/>
    <col width="60" customWidth="1" min="6" max="6"/>
    <col width="22" customWidth="1" min="7" max="7"/>
  </cols>
  <sheetData>
    <row r="1" ht="28" customHeight="1">
      <c r="A1" s="1" t="inlineStr">
        <is>
          <t>Term_ID</t>
        </is>
      </c>
      <c r="B1" s="1" t="inlineStr">
        <is>
          <t>Term</t>
        </is>
      </c>
      <c r="C1" s="1" t="inlineStr">
        <is>
          <t>Simple_Definition</t>
        </is>
      </c>
      <c r="D1" s="1" t="inlineStr">
        <is>
          <t>Technical_Definition</t>
        </is>
      </c>
      <c r="E1" s="1" t="inlineStr">
        <is>
          <t>Related_OWASP_ID</t>
        </is>
      </c>
      <c r="F1" s="1" t="inlineStr">
        <is>
          <t>Official_Evidence_URL</t>
        </is>
      </c>
      <c r="G1" s="1" t="inlineStr">
        <is>
          <t>Verification_Status</t>
        </is>
      </c>
    </row>
    <row r="2" ht="24" customHeight="1">
      <c r="A2" s="2" t="inlineStr">
        <is>
          <t>G01</t>
        </is>
      </c>
      <c r="B2" s="2" t="inlineStr">
        <is>
          <t>Access Control</t>
        </is>
      </c>
      <c r="C2" s="2" t="inlineStr">
        <is>
          <t>Rules deciding what a user can access</t>
        </is>
      </c>
      <c r="D2" s="2" t="inlineStr">
        <is>
          <t>Enforcement of permissions on resources and actions based on user identity and policy</t>
        </is>
      </c>
      <c r="E2" s="2" t="inlineStr">
        <is>
          <t>A01:2025</t>
        </is>
      </c>
      <c r="F2" s="2" t="inlineStr">
        <is>
          <t>https://top10.owasp.org/2025/A01_2025-Broken_Access_Control/</t>
        </is>
      </c>
      <c r="G2" s="2" t="inlineStr">
        <is>
          <t>Verified</t>
        </is>
      </c>
    </row>
    <row r="3" ht="24" customHeight="1">
      <c r="A3" s="3" t="inlineStr">
        <is>
          <t>G02</t>
        </is>
      </c>
      <c r="B3" s="3" t="inlineStr">
        <is>
          <t>Least Privilege</t>
        </is>
      </c>
      <c r="C3" s="3" t="inlineStr">
        <is>
          <t>Give users only the access they need</t>
        </is>
      </c>
      <c r="D3" s="3" t="inlineStr">
        <is>
          <t>Restricting system access and execution rights to the absolute minimum necessary for authorized duties</t>
        </is>
      </c>
      <c r="E3" s="3" t="inlineStr">
        <is>
          <t>A01:2025</t>
        </is>
      </c>
      <c r="F3" s="3" t="inlineStr">
        <is>
          <t>https://top10.owasp.org/2025/A01_2025-Broken_Access_Control/</t>
        </is>
      </c>
      <c r="G3" s="3" t="inlineStr">
        <is>
          <t>Verified</t>
        </is>
      </c>
    </row>
    <row r="4" ht="24" customHeight="1">
      <c r="A4" s="2" t="inlineStr">
        <is>
          <t>G03</t>
        </is>
      </c>
      <c r="B4" s="2" t="inlineStr">
        <is>
          <t>Security Misconfiguration</t>
        </is>
      </c>
      <c r="C4" s="2" t="inlineStr">
        <is>
          <t>An insecure setting in a system</t>
        </is>
      </c>
      <c r="D4" s="2" t="inlineStr">
        <is>
          <t>Incorrect security-related configuration of an application, cloud storage, container, or web server</t>
        </is>
      </c>
      <c r="E4" s="2" t="inlineStr">
        <is>
          <t>A02:2025</t>
        </is>
      </c>
      <c r="F4" s="2" t="inlineStr">
        <is>
          <t>https://top10.owasp.org/2025/A02_2025-Security_Misconfiguration/</t>
        </is>
      </c>
      <c r="G4" s="2" t="inlineStr">
        <is>
          <t>Verified</t>
        </is>
      </c>
    </row>
    <row r="5" ht="24" customHeight="1">
      <c r="A5" s="3" t="inlineStr">
        <is>
          <t>G04</t>
        </is>
      </c>
      <c r="B5" s="3" t="inlineStr">
        <is>
          <t>Dependency</t>
        </is>
      </c>
      <c r="C5" s="3" t="inlineStr">
        <is>
          <t>An external component your software relies on</t>
        </is>
      </c>
      <c r="D5" s="3" t="inlineStr">
        <is>
          <t>A third-party library, package, or framework integrated into an application's codebase</t>
        </is>
      </c>
      <c r="E5" s="3" t="inlineStr">
        <is>
          <t>A03:2025</t>
        </is>
      </c>
      <c r="F5" s="3" t="inlineStr">
        <is>
          <t>https://top10.owasp.org/2025/A03_2025-Software_Supply_Chain_Failures/</t>
        </is>
      </c>
      <c r="G5" s="3" t="inlineStr">
        <is>
          <t>Verified</t>
        </is>
      </c>
    </row>
    <row r="6" ht="24" customHeight="1">
      <c r="A6" s="2" t="inlineStr">
        <is>
          <t>G05</t>
        </is>
      </c>
      <c r="B6" s="2" t="inlineStr">
        <is>
          <t>Software Supply Chain</t>
        </is>
      </c>
      <c r="C6" s="2" t="inlineStr">
        <is>
          <t>The tools and components used to build and deliver software</t>
        </is>
      </c>
      <c r="D6" s="2" t="inlineStr">
        <is>
          <t>The ecosystem of dependencies, repositories, build tools, CI/CD pipelines, and distribution channels</t>
        </is>
      </c>
      <c r="E6" s="2" t="inlineStr">
        <is>
          <t>A03:2025</t>
        </is>
      </c>
      <c r="F6" s="2" t="inlineStr">
        <is>
          <t>https://top10.owasp.org/2025/A03_2025-Software_Supply_Chain_Failures/</t>
        </is>
      </c>
      <c r="G6" s="2" t="inlineStr">
        <is>
          <t>Verified</t>
        </is>
      </c>
    </row>
    <row r="7" ht="24" customHeight="1">
      <c r="A7" s="3" t="inlineStr">
        <is>
          <t>G06</t>
        </is>
      </c>
      <c r="B7" s="3" t="inlineStr">
        <is>
          <t>Encryption</t>
        </is>
      </c>
      <c r="C7" s="3" t="inlineStr">
        <is>
          <t>Making information unreadable without the right key</t>
        </is>
      </c>
      <c r="D7" s="3" t="inlineStr">
        <is>
          <t>Transforming plaintext into ciphertext using a cryptographic algorithm and secret key to ensure confidentiality</t>
        </is>
      </c>
      <c r="E7" s="3" t="inlineStr">
        <is>
          <t>A04:2025</t>
        </is>
      </c>
      <c r="F7" s="3" t="inlineStr">
        <is>
          <t>https://top10.owasp.org/2025/A04_2025-Cryptographic_Failures/</t>
        </is>
      </c>
      <c r="G7" s="3" t="inlineStr">
        <is>
          <t>Verified</t>
        </is>
      </c>
    </row>
    <row r="8" ht="24" customHeight="1">
      <c r="A8" s="2" t="inlineStr">
        <is>
          <t>G07</t>
        </is>
      </c>
      <c r="B8" s="2" t="inlineStr">
        <is>
          <t>Key Management</t>
        </is>
      </c>
      <c r="C8" s="2" t="inlineStr">
        <is>
          <t>Safely handling encryption keys</t>
        </is>
      </c>
      <c r="D8" s="2" t="inlineStr">
        <is>
          <t>The full lifecycle governance of cryptographic keys: generation, distribution, storage, rotation, and revocation</t>
        </is>
      </c>
      <c r="E8" s="2" t="inlineStr">
        <is>
          <t>A04:2025</t>
        </is>
      </c>
      <c r="F8" s="2" t="inlineStr">
        <is>
          <t>https://top10.owasp.org/2025/A04_2025-Cryptographic_Failures/</t>
        </is>
      </c>
      <c r="G8" s="2" t="inlineStr">
        <is>
          <t>Verified</t>
        </is>
      </c>
    </row>
    <row r="9" ht="24" customHeight="1">
      <c r="A9" s="3" t="inlineStr">
        <is>
          <t>G08</t>
        </is>
      </c>
      <c r="B9" s="3" t="inlineStr">
        <is>
          <t>Injection</t>
        </is>
      </c>
      <c r="C9" s="3" t="inlineStr">
        <is>
          <t>Untrusted input changes how a command is interpreted</t>
        </is>
      </c>
      <c r="D9" s="3" t="inlineStr">
        <is>
          <t>Flaw where hostile input is interpreted as machine instructions rather than literal parameters</t>
        </is>
      </c>
      <c r="E9" s="3" t="inlineStr">
        <is>
          <t>A05:2025</t>
        </is>
      </c>
      <c r="F9" s="3" t="inlineStr">
        <is>
          <t>https://top10.owasp.org/2025/A05_2025-Injection/</t>
        </is>
      </c>
      <c r="G9" s="3" t="inlineStr">
        <is>
          <t>Verified</t>
        </is>
      </c>
    </row>
    <row r="10" ht="24" customHeight="1">
      <c r="A10" s="2" t="inlineStr">
        <is>
          <t>G09</t>
        </is>
      </c>
      <c r="B10" s="2" t="inlineStr">
        <is>
          <t>Parameterized Query</t>
        </is>
      </c>
      <c r="C10" s="2" t="inlineStr">
        <is>
          <t>Keeping user input separate from a database command</t>
        </is>
      </c>
      <c r="D10" s="2" t="inlineStr">
        <is>
          <t>Pre-compiled database statement where parameters are bound by value, preventing syntax manipulation</t>
        </is>
      </c>
      <c r="E10" s="2" t="inlineStr">
        <is>
          <t>A05:2025</t>
        </is>
      </c>
      <c r="F10" s="2" t="inlineStr">
        <is>
          <t>https://top10.owasp.org/2025/A05_2025-Injection/</t>
        </is>
      </c>
      <c r="G10" s="2" t="inlineStr">
        <is>
          <t>Verified</t>
        </is>
      </c>
    </row>
    <row r="11" ht="24" customHeight="1">
      <c r="A11" s="3" t="inlineStr">
        <is>
          <t>G10</t>
        </is>
      </c>
      <c r="B11" s="3" t="inlineStr">
        <is>
          <t>Authentication</t>
        </is>
      </c>
      <c r="C11" s="3" t="inlineStr">
        <is>
          <t>Checking who a user is</t>
        </is>
      </c>
      <c r="D11" s="3" t="inlineStr">
        <is>
          <t>The process of verifying an entity's claimed identity using credentials, tokens, or biometric factors</t>
        </is>
      </c>
      <c r="E11" s="3" t="inlineStr">
        <is>
          <t>A07:2025</t>
        </is>
      </c>
      <c r="F11" s="3" t="inlineStr">
        <is>
          <t>https://top10.owasp.org/2025/A07_2025-Authentication_Failures/</t>
        </is>
      </c>
      <c r="G11" s="3" t="inlineStr">
        <is>
          <t>Verified</t>
        </is>
      </c>
    </row>
    <row r="12" ht="24" customHeight="1">
      <c r="A12" s="2" t="inlineStr">
        <is>
          <t>G11</t>
        </is>
      </c>
      <c r="B12" s="2" t="inlineStr">
        <is>
          <t>Multi-Factor Authentication (MFA)</t>
        </is>
      </c>
      <c r="C12" s="2" t="inlineStr">
        <is>
          <t>Requiring more than one type of proof of identity</t>
        </is>
      </c>
      <c r="D12" s="2" t="inlineStr">
        <is>
          <t>Authentication requiring two or more distinct credential categories: knowledge, possession, or inherence</t>
        </is>
      </c>
      <c r="E12" s="2" t="inlineStr">
        <is>
          <t>A07:2025</t>
        </is>
      </c>
      <c r="F12" s="2" t="inlineStr">
        <is>
          <t>https://top10.owasp.org/2025/A07_2025-Authentication_Failures/</t>
        </is>
      </c>
      <c r="G12" s="2" t="inlineStr">
        <is>
          <t>Verified</t>
        </is>
      </c>
    </row>
    <row r="13" ht="24" customHeight="1">
      <c r="A13" s="3" t="inlineStr">
        <is>
          <t>G12</t>
        </is>
      </c>
      <c r="B13" s="3" t="inlineStr">
        <is>
          <t>Session Management</t>
        </is>
      </c>
      <c r="C13" s="3" t="inlineStr">
        <is>
          <t>Keeping track of a user's signed-in session</t>
        </is>
      </c>
      <c r="D13" s="3" t="inlineStr">
        <is>
          <t>Secure creation, handling, transmission, and invalidation of stateless or stateful session tokens</t>
        </is>
      </c>
      <c r="E13" s="3" t="inlineStr">
        <is>
          <t>A07:2025</t>
        </is>
      </c>
      <c r="F13" s="3" t="inlineStr">
        <is>
          <t>https://top10.owasp.org/2025/A07_2025-Authentication_Failures/</t>
        </is>
      </c>
      <c r="G13" s="3" t="inlineStr">
        <is>
          <t>Verified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14" customWidth="1" min="1" max="1"/>
    <col width="12" customWidth="1" min="2" max="2"/>
    <col width="60" customWidth="1" min="3" max="3"/>
    <col width="60" customWidth="1" min="4" max="4"/>
    <col width="60" customWidth="1" min="5" max="5"/>
    <col width="60" customWidth="1" min="6" max="6"/>
    <col width="60" customWidth="1" min="7" max="7"/>
    <col width="17" customWidth="1" min="8" max="8"/>
    <col width="60" customWidth="1" min="9" max="9"/>
    <col width="60" customWidth="1" min="10" max="10"/>
    <col width="22" customWidth="1" min="11" max="11"/>
  </cols>
  <sheetData>
    <row r="1" ht="28" customHeight="1">
      <c r="A1" s="1" t="inlineStr">
        <is>
          <t>Question_ID</t>
        </is>
      </c>
      <c r="B1" s="1" t="inlineStr">
        <is>
          <t>OWASP_ID</t>
        </is>
      </c>
      <c r="C1" s="1" t="inlineStr">
        <is>
          <t>Question</t>
        </is>
      </c>
      <c r="D1" s="1" t="inlineStr">
        <is>
          <t>Option_A</t>
        </is>
      </c>
      <c r="E1" s="1" t="inlineStr">
        <is>
          <t>Option_B</t>
        </is>
      </c>
      <c r="F1" s="1" t="inlineStr">
        <is>
          <t>Option_C</t>
        </is>
      </c>
      <c r="G1" s="1" t="inlineStr">
        <is>
          <t>Option_D</t>
        </is>
      </c>
      <c r="H1" s="1" t="inlineStr">
        <is>
          <t>Correct_Answer</t>
        </is>
      </c>
      <c r="I1" s="1" t="inlineStr">
        <is>
          <t>Explanation</t>
        </is>
      </c>
      <c r="J1" s="1" t="inlineStr">
        <is>
          <t>Evidence_URL</t>
        </is>
      </c>
      <c r="K1" s="1" t="inlineStr">
        <is>
          <t>Verification_Status</t>
        </is>
      </c>
    </row>
    <row r="2" ht="24" customHeight="1">
      <c r="A2" s="2" t="inlineStr">
        <is>
          <t>Q01</t>
        </is>
      </c>
      <c r="B2" s="2" t="inlineStr">
        <is>
          <t>A01:2025</t>
        </is>
      </c>
      <c r="C2" s="2" t="inlineStr">
        <is>
          <t>What does access control determine?</t>
        </is>
      </c>
      <c r="D2" s="2" t="inlineStr">
        <is>
          <t>User permissions and allowed actions</t>
        </is>
      </c>
      <c r="E2" s="2" t="inlineStr">
        <is>
          <t>Screen resolution and theme</t>
        </is>
      </c>
      <c r="F2" s="2" t="inlineStr">
        <is>
          <t>Network bandwidth limits</t>
        </is>
      </c>
      <c r="G2" s="2" t="inlineStr">
        <is>
          <t>Database file format</t>
        </is>
      </c>
      <c r="H2" s="2" t="inlineStr">
        <is>
          <t>A</t>
        </is>
      </c>
      <c r="I2" s="2" t="inlineStr">
        <is>
          <t>Access control enforces policy so that users cannot act outside their permitted operations.</t>
        </is>
      </c>
      <c r="J2" s="2" t="inlineStr">
        <is>
          <t>https://top10.owasp.org/2025/A01_2025-Broken_Access_Control/</t>
        </is>
      </c>
      <c r="K2" s="2" t="inlineStr">
        <is>
          <t>Verified</t>
        </is>
      </c>
    </row>
    <row r="3" ht="24" customHeight="1">
      <c r="A3" s="3" t="inlineStr">
        <is>
          <t>Q02</t>
        </is>
      </c>
      <c r="B3" s="3" t="inlineStr">
        <is>
          <t>A01:2025</t>
        </is>
      </c>
      <c r="C3" s="3" t="inlineStr">
        <is>
          <t>Where should access control checks be strictly enforced?</t>
        </is>
      </c>
      <c r="D3" s="3" t="inlineStr">
        <is>
          <t>Client-side HTML and JavaScript</t>
        </is>
      </c>
      <c r="E3" s="3" t="inlineStr">
        <is>
          <t>Trusted server-side code or APIs</t>
        </is>
      </c>
      <c r="F3" s="3" t="inlineStr">
        <is>
          <t>Browser CSS styling</t>
        </is>
      </c>
      <c r="G3" s="3" t="inlineStr">
        <is>
          <t>Code comments</t>
        </is>
      </c>
      <c r="H3" s="3" t="inlineStr">
        <is>
          <t>B</t>
        </is>
      </c>
      <c r="I3" s="3" t="inlineStr">
        <is>
          <t>Client-side checks are easily bypassed by intercepting or forging HTTP requests. Enforcement must happen on trusted server-side code.</t>
        </is>
      </c>
      <c r="J3" s="3" t="inlineStr">
        <is>
          <t>https://top10.owasp.org/2025/A01_2025-Broken_Access_Control/</t>
        </is>
      </c>
      <c r="K3" s="3" t="inlineStr">
        <is>
          <t>Verified</t>
        </is>
      </c>
    </row>
    <row r="4" ht="24" customHeight="1">
      <c r="A4" s="2" t="inlineStr">
        <is>
          <t>Q03</t>
        </is>
      </c>
      <c r="B4" s="2" t="inlineStr">
        <is>
          <t>A01:2025</t>
        </is>
      </c>
      <c r="C4" s="2" t="inlineStr">
        <is>
          <t>What is the core principle of Least Privilege?</t>
        </is>
      </c>
      <c r="D4" s="2" t="inlineStr">
        <is>
          <t>Grant everyone full administrative permissions</t>
        </is>
      </c>
      <c r="E4" s="2" t="inlineStr">
        <is>
          <t>Deny access to all valid users</t>
        </is>
      </c>
      <c r="F4" s="2" t="inlineStr">
        <is>
          <t>Give users only the minimum necessary permissions</t>
        </is>
      </c>
      <c r="G4" s="2" t="inlineStr">
        <is>
          <t>Share administrative credentials across teams</t>
        </is>
      </c>
      <c r="H4" s="2" t="inlineStr">
        <is>
          <t>C</t>
        </is>
      </c>
      <c r="I4" s="2" t="inlineStr">
        <is>
          <t>Least privilege minimizes risk by limiting privileges to only what is required to perform specific tasks.</t>
        </is>
      </c>
      <c r="J4" s="2" t="inlineStr">
        <is>
          <t>https://top10.owasp.org/2025/A01_2025-Broken_Access_Control/</t>
        </is>
      </c>
      <c r="K4" s="2" t="inlineStr">
        <is>
          <t>Verified</t>
        </is>
      </c>
    </row>
    <row r="5" ht="24" customHeight="1">
      <c r="A5" s="3" t="inlineStr">
        <is>
          <t>Q04</t>
        </is>
      </c>
      <c r="B5" s="3" t="inlineStr">
        <is>
          <t>A02:2025</t>
        </is>
      </c>
      <c r="C5" s="3" t="inlineStr">
        <is>
          <t>What defines a Security Misconfiguration?</t>
        </is>
      </c>
      <c r="D5" s="3" t="inlineStr">
        <is>
          <t>A properly rotated strong password</t>
        </is>
      </c>
      <c r="E5" s="3" t="inlineStr">
        <is>
          <t>An up-to-date security patch</t>
        </is>
      </c>
      <c r="F5" s="3" t="inlineStr">
        <is>
          <t>A daily database backup</t>
        </is>
      </c>
      <c r="G5" s="3" t="inlineStr">
        <is>
          <t>An insecure, default, or improperly maintained system setting</t>
        </is>
      </c>
      <c r="H5" s="3" t="inlineStr">
        <is>
          <t>D</t>
        </is>
      </c>
      <c r="I5" s="3" t="inlineStr">
        <is>
          <t>Misconfigurations arise from default accounts, exposed debug endpoints, missing security headers, or overly verbose error messages.</t>
        </is>
      </c>
      <c r="J5" s="3" t="inlineStr">
        <is>
          <t>https://top10.owasp.org/2025/A02_2025-Security_Misconfiguration/</t>
        </is>
      </c>
      <c r="K5" s="3" t="inlineStr">
        <is>
          <t>Verified</t>
        </is>
      </c>
    </row>
    <row r="6" ht="24" customHeight="1">
      <c r="A6" s="2" t="inlineStr">
        <is>
          <t>Q05</t>
        </is>
      </c>
      <c r="B6" s="2" t="inlineStr">
        <is>
          <t>A02:2025</t>
        </is>
      </c>
      <c r="C6" s="2" t="inlineStr">
        <is>
          <t>Which practice defends against Security Misconfiguration in production?</t>
        </is>
      </c>
      <c r="D6" s="2" t="inlineStr">
        <is>
          <t>Expose detailed stack traces to end users</t>
        </is>
      </c>
      <c r="E6" s="2" t="inlineStr">
        <is>
          <t>Harden configurations and disable debug modes</t>
        </is>
      </c>
      <c r="F6" s="2" t="inlineStr">
        <is>
          <t>Disable all firewalls and security headers</t>
        </is>
      </c>
      <c r="G6" s="2" t="inlineStr">
        <is>
          <t>Store plaintext credentials in repository READMEs</t>
        </is>
      </c>
      <c r="H6" s="2" t="inlineStr">
        <is>
          <t>B</t>
        </is>
      </c>
      <c r="I6" s="2" t="inlineStr">
        <is>
          <t>Disabling debug features in production prevents information disclosure of database queries and internal architecture.</t>
        </is>
      </c>
      <c r="J6" s="2" t="inlineStr">
        <is>
          <t>https://top10.owasp.org/2025/A02_2025-Security_Misconfiguration/</t>
        </is>
      </c>
      <c r="K6" s="2" t="inlineStr">
        <is>
          <t>Verified</t>
        </is>
      </c>
    </row>
    <row r="7" ht="24" customHeight="1">
      <c r="A7" s="3" t="inlineStr">
        <is>
          <t>Q06</t>
        </is>
      </c>
      <c r="B7" s="3" t="inlineStr">
        <is>
          <t>A03:2025</t>
        </is>
      </c>
      <c r="C7" s="3" t="inlineStr">
        <is>
          <t>What is a third-party software dependency?</t>
        </is>
      </c>
      <c r="D7" s="3" t="inlineStr">
        <is>
          <t>A required external library or package your application imports</t>
        </is>
      </c>
      <c r="E7" s="3" t="inlineStr">
        <is>
          <t>A user's plaintext password</t>
        </is>
      </c>
      <c r="F7" s="3" t="inlineStr">
        <is>
          <t>The visual layout of a web page</t>
        </is>
      </c>
      <c r="G7" s="3" t="inlineStr">
        <is>
          <t>A hardware firewall cable</t>
        </is>
      </c>
      <c r="H7" s="3" t="inlineStr">
        <is>
          <t>A</t>
        </is>
      </c>
      <c r="I7" s="3" t="inlineStr">
        <is>
          <t>Dependencies are external software components bundled into your application to provide functional capabilities.</t>
        </is>
      </c>
      <c r="J7" s="3" t="inlineStr">
        <is>
          <t>https://top10.owasp.org/2025/A03_2025-Software_Supply_Chain_Failures/</t>
        </is>
      </c>
      <c r="K7" s="3" t="inlineStr">
        <is>
          <t>Verified</t>
        </is>
      </c>
    </row>
    <row r="8" ht="24" customHeight="1">
      <c r="A8" s="2" t="inlineStr">
        <is>
          <t>Q07</t>
        </is>
      </c>
      <c r="B8" s="2" t="inlineStr">
        <is>
          <t>A03:2025</t>
        </is>
      </c>
      <c r="C8" s="2" t="inlineStr">
        <is>
          <t>What scope should dependency management and vulnerability scanning track?</t>
        </is>
      </c>
      <c r="D8" s="2" t="inlineStr">
        <is>
          <t>Application logo image files only</t>
        </is>
      </c>
      <c r="E8" s="2" t="inlineStr">
        <is>
          <t>Direct top-level dependencies only</t>
        </is>
      </c>
      <c r="F8" s="2" t="inlineStr">
        <is>
          <t>Both direct and transitive (nested) dependencies</t>
        </is>
      </c>
      <c r="G8" s="2" t="inlineStr">
        <is>
          <t>Nothing once initial installation completes</t>
        </is>
      </c>
      <c r="H8" s="2" t="inlineStr">
        <is>
          <t>C</t>
        </is>
      </c>
      <c r="I8" s="2" t="inlineStr">
        <is>
          <t>Vulnerabilities frequently reside deep within transitive dependencies pulled in by direct packages.</t>
        </is>
      </c>
      <c r="J8" s="2" t="inlineStr">
        <is>
          <t>https://top10.owasp.org/2025/A03_2025-Software_Supply_Chain_Failures/</t>
        </is>
      </c>
      <c r="K8" s="2" t="inlineStr">
        <is>
          <t>Verified</t>
        </is>
      </c>
    </row>
    <row r="9" ht="24" customHeight="1">
      <c r="A9" s="3" t="inlineStr">
        <is>
          <t>Q08</t>
        </is>
      </c>
      <c r="B9" s="3" t="inlineStr">
        <is>
          <t>A03:2025</t>
        </is>
      </c>
      <c r="C9" s="3" t="inlineStr">
        <is>
          <t>Does pinning an exact dependency version alone guarantee that a package is secure?</t>
        </is>
      </c>
      <c r="D9" s="3" t="inlineStr">
        <is>
          <t>Yes, pinned versions can never have security flaws</t>
        </is>
      </c>
      <c r="E9" s="3" t="inlineStr">
        <is>
          <t>Only when running on Windows servers</t>
        </is>
      </c>
      <c r="F9" s="3" t="inlineStr">
        <is>
          <t>Only for open-source software packages</t>
        </is>
      </c>
      <c r="G9" s="3" t="inlineStr">
        <is>
          <t>No, pinned versions can still contain known or discovered vulnerabilities</t>
        </is>
      </c>
      <c r="H9" s="3" t="inlineStr">
        <is>
          <t>D</t>
        </is>
      </c>
      <c r="I9" s="3" t="inlineStr">
        <is>
          <t>Pinning prevents unexpected automatic updates, but it does not guarantee that the pinned version is free from critical flaws.</t>
        </is>
      </c>
      <c r="J9" s="3" t="inlineStr">
        <is>
          <t>https://top10.owasp.org/2025/A03_2025-Software_Supply_Chain_Failures/</t>
        </is>
      </c>
      <c r="K9" s="3" t="inlineStr">
        <is>
          <t>Verified</t>
        </is>
      </c>
    </row>
    <row r="10" ht="24" customHeight="1">
      <c r="A10" s="2" t="inlineStr">
        <is>
          <t>Q09</t>
        </is>
      </c>
      <c r="B10" s="2" t="inlineStr">
        <is>
          <t>A04:2025</t>
        </is>
      </c>
      <c r="C10" s="2" t="inlineStr">
        <is>
          <t>What represents a Cryptographic Failure according to OWASP?</t>
        </is>
      </c>
      <c r="D10" s="2" t="inlineStr">
        <is>
          <t>Slow page load times due to network latency</t>
        </is>
      </c>
      <c r="E10" s="2" t="inlineStr">
        <is>
          <t>Weaknesses in cryptographic algorithms, protocols, or key management</t>
        </is>
      </c>
      <c r="F10" s="2" t="inlineStr">
        <is>
          <t>A broken hyperlink on the home page</t>
        </is>
      </c>
      <c r="G10" s="2" t="inlineStr">
        <is>
          <t>A syntax error in a JavaScript loop</t>
        </is>
      </c>
      <c r="H10" s="2" t="inlineStr">
        <is>
          <t>B</t>
        </is>
      </c>
      <c r="I10" s="2" t="inlineStr">
        <is>
          <t>Cryptographic failures include using obsolete ciphers (e.g., MD5), missing encryption in transit, or improper secret storage.</t>
        </is>
      </c>
      <c r="J10" s="2" t="inlineStr">
        <is>
          <t>https://top10.owasp.org/2025/A04_2025-Cryptographic_Failures/</t>
        </is>
      </c>
      <c r="K10" s="2" t="inlineStr">
        <is>
          <t>Verified</t>
        </is>
      </c>
    </row>
    <row r="11" ht="24" customHeight="1">
      <c r="A11" s="3" t="inlineStr">
        <is>
          <t>Q10</t>
        </is>
      </c>
      <c r="B11" s="3" t="inlineStr">
        <is>
          <t>A04:2025</t>
        </is>
      </c>
      <c r="C11" s="3" t="inlineStr">
        <is>
          <t>How should user passwords be securely stored in modern databases?</t>
        </is>
      </c>
      <c r="D11" s="3" t="inlineStr">
        <is>
          <t>Plain text in a restricted database column</t>
        </is>
      </c>
      <c r="E11" s="3" t="inlineStr">
        <is>
          <t>Reversible Base64 encoding</t>
        </is>
      </c>
      <c r="F11" s="3" t="inlineStr">
        <is>
          <t>Salted adaptive password hashing (e.g., Argon2id or bcrypt)</t>
        </is>
      </c>
      <c r="G11" s="3" t="inlineStr">
        <is>
          <t>Hardcoded directly into backend scripts</t>
        </is>
      </c>
      <c r="H11" s="3" t="inlineStr">
        <is>
          <t>C</t>
        </is>
      </c>
      <c r="I11" s="3" t="inlineStr">
        <is>
          <t>Adaptive hashing algorithms incorporate cryptographic salts and computationally tuned work factors to resist offline GPU brute-force attacks.</t>
        </is>
      </c>
      <c r="J11" s="3" t="inlineStr">
        <is>
          <t>https://top10.owasp.org/2025/A04_2025-Cryptographic_Failures/</t>
        </is>
      </c>
      <c r="K11" s="3" t="inlineStr">
        <is>
          <t>Verified</t>
        </is>
      </c>
    </row>
    <row r="12" ht="24" customHeight="1">
      <c r="A12" s="2" t="inlineStr">
        <is>
          <t>Q11</t>
        </is>
      </c>
      <c r="B12" s="2" t="inlineStr">
        <is>
          <t>A05:2025</t>
        </is>
      </c>
      <c r="C12" s="2" t="inlineStr">
        <is>
          <t>What is the underlying mechanism of SQL Injection?</t>
        </is>
      </c>
      <c r="D12" s="2" t="inlineStr">
        <is>
          <t>Creating automated database backups</t>
        </is>
      </c>
      <c r="E12" s="2" t="inlineStr">
        <is>
          <t>A physical disruption of server hardware</t>
        </is>
      </c>
      <c r="F12" s="2" t="inlineStr">
        <is>
          <t>A secure token-based login process</t>
        </is>
      </c>
      <c r="G12" s="2" t="inlineStr">
        <is>
          <t>Hostile input altering the intended SQL syntax and execution logic</t>
        </is>
      </c>
      <c r="H12" s="2" t="inlineStr">
        <is>
          <t>D</t>
        </is>
      </c>
      <c r="I12" s="2" t="inlineStr">
        <is>
          <t>SQL injection occurs when untrusted user input is directly concatenated into a dynamic SQL query string.</t>
        </is>
      </c>
      <c r="J12" s="2" t="inlineStr">
        <is>
          <t>https://top10.owasp.org/2025/A05_2025-Injection/</t>
        </is>
      </c>
      <c r="K12" s="2" t="inlineStr">
        <is>
          <t>Verified</t>
        </is>
      </c>
    </row>
    <row r="13" ht="24" customHeight="1">
      <c r="A13" s="3" t="inlineStr">
        <is>
          <t>Q12</t>
        </is>
      </c>
      <c r="B13" s="3" t="inlineStr">
        <is>
          <t>A05:2025</t>
        </is>
      </c>
      <c r="C13" s="3" t="inlineStr">
        <is>
          <t>What is the primary defensive measure against SQL Injection?</t>
        </is>
      </c>
      <c r="D13" s="3" t="inlineStr">
        <is>
          <t>Using parameterized queries (prepared statements)</t>
        </is>
      </c>
      <c r="E13" s="3" t="inlineStr">
        <is>
          <t>Concatenating strings with raw user input</t>
        </is>
      </c>
      <c r="F13" s="3" t="inlineStr">
        <is>
          <t>Hiding the submit button with CSS</t>
        </is>
      </c>
      <c r="G13" s="3" t="inlineStr">
        <is>
          <t>Renaming database table columns to longer names</t>
        </is>
      </c>
      <c r="H13" s="3" t="inlineStr">
        <is>
          <t>A</t>
        </is>
      </c>
      <c r="I13" s="3" t="inlineStr">
        <is>
          <t>Parameterized queries ensure the database engine compiles the query template first and treats user parameters strictly as data.</t>
        </is>
      </c>
      <c r="J13" s="3" t="inlineStr">
        <is>
          <t>https://top10.owasp.org/2025/A05_2025-Injection/</t>
        </is>
      </c>
      <c r="K13" s="3" t="inlineStr">
        <is>
          <t>Verified</t>
        </is>
      </c>
    </row>
    <row r="14" ht="24" customHeight="1">
      <c r="A14" s="2" t="inlineStr">
        <is>
          <t>Q13</t>
        </is>
      </c>
      <c r="B14" s="2" t="inlineStr">
        <is>
          <t>A07:2025</t>
        </is>
      </c>
      <c r="C14" s="2" t="inlineStr">
        <is>
          <t>What is the primary purpose of Authentication?</t>
        </is>
      </c>
      <c r="D14" s="2" t="inlineStr">
        <is>
          <t>Styling user interface components</t>
        </is>
      </c>
      <c r="E14" s="2" t="inlineStr">
        <is>
          <t>Verifying the claimed identity of a user or service</t>
        </is>
      </c>
      <c r="F14" s="2" t="inlineStr">
        <is>
          <t>Compressing files before network transmission</t>
        </is>
      </c>
      <c r="G14" s="2" t="inlineStr">
        <is>
          <t>Indexing database tables for faster search</t>
        </is>
      </c>
      <c r="H14" s="2" t="inlineStr">
        <is>
          <t>B</t>
        </is>
      </c>
      <c r="I14" s="2" t="inlineStr">
        <is>
          <t>Authentication confirms that an entity is genuinely who they claim to be through valid credentials or assertions.</t>
        </is>
      </c>
      <c r="J14" s="2" t="inlineStr">
        <is>
          <t>https://top10.owasp.org/2025/A07_2025-Authentication_Failures/</t>
        </is>
      </c>
      <c r="K14" s="2" t="inlineStr">
        <is>
          <t>Verified</t>
        </is>
      </c>
    </row>
    <row r="15" ht="24" customHeight="1">
      <c r="A15" s="3" t="inlineStr">
        <is>
          <t>Q14</t>
        </is>
      </c>
      <c r="B15" s="3" t="inlineStr">
        <is>
          <t>A07:2025</t>
        </is>
      </c>
      <c r="C15" s="3" t="inlineStr">
        <is>
          <t>What does Multi-Factor Authentication (MFA) strictly require?</t>
        </is>
      </c>
      <c r="D15" s="3" t="inlineStr">
        <is>
          <t>A very long username</t>
        </is>
      </c>
      <c r="E15" s="3" t="inlineStr">
        <is>
          <t>A publicly accessible social profile</t>
        </is>
      </c>
      <c r="F15" s="3" t="inlineStr">
        <is>
          <t>Two or more distinct authentication factor categories (knowledge, possession, inherence)</t>
        </is>
      </c>
      <c r="G15" s="3" t="inlineStr">
        <is>
          <t>Authentication without passwords or tokens</t>
        </is>
      </c>
      <c r="H15" s="3" t="inlineStr">
        <is>
          <t>C</t>
        </is>
      </c>
      <c r="I15" s="3" t="inlineStr">
        <is>
          <t>MFA combines distinct factor categories (e.g., password + authenticator TOTP token) rather than multiple instances of the same factor.</t>
        </is>
      </c>
      <c r="J15" s="3" t="inlineStr">
        <is>
          <t>https://top10.owasp.org/2025/A07_2025-Authentication_Failures/</t>
        </is>
      </c>
      <c r="K15" s="3" t="inlineStr">
        <is>
          <t>Verified</t>
        </is>
      </c>
    </row>
    <row r="16" ht="24" customHeight="1">
      <c r="A16" s="2" t="inlineStr">
        <is>
          <t>Q15</t>
        </is>
      </c>
      <c r="B16" s="2" t="inlineStr">
        <is>
          <t>A07:2025</t>
        </is>
      </c>
      <c r="C16" s="2" t="inlineStr">
        <is>
          <t>Why should login endpoints enforce rate limiting?</t>
        </is>
      </c>
      <c r="D16" s="2" t="inlineStr">
        <is>
          <t>To change the background color of the web application</t>
        </is>
      </c>
      <c r="E16" s="2" t="inlineStr">
        <is>
          <t>To make user passwords publicly readable</t>
        </is>
      </c>
      <c r="F16" s="2" t="inlineStr">
        <is>
          <t>To bypass authorization checks during high traffic</t>
        </is>
      </c>
      <c r="G16" s="2" t="inlineStr">
        <is>
          <t>To mitigate automated brute-force and credential stuffing attacks</t>
        </is>
      </c>
      <c r="H16" s="2" t="inlineStr">
        <is>
          <t>D</t>
        </is>
      </c>
      <c r="I16" s="2" t="inlineStr">
        <is>
          <t>Rate limiting restricts the frequency of repeated authentication attempts from a single IP or account, blocking high-speed credential stuffing.</t>
        </is>
      </c>
      <c r="J16" s="2" t="inlineStr">
        <is>
          <t>https://top10.owasp.org/2025/A07_2025-Authentication_Failures/</t>
        </is>
      </c>
      <c r="K16" s="2" t="inlineStr">
        <is>
          <t>Verified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9" customWidth="1" min="1" max="1"/>
    <col width="18" customWidth="1" min="2" max="2"/>
    <col width="60" customWidth="1" min="3" max="3"/>
    <col width="60" customWidth="1" min="4" max="4"/>
    <col width="60" customWidth="1" min="5" max="5"/>
    <col width="60" customWidth="1" min="6" max="6"/>
    <col width="60" customWidth="1" min="7" max="7"/>
    <col width="41" customWidth="1" min="8" max="8"/>
    <col width="40" customWidth="1" min="9" max="9"/>
  </cols>
  <sheetData>
    <row r="1" ht="28" customHeight="1">
      <c r="A1" s="1" t="inlineStr">
        <is>
          <t>AI_Tool</t>
        </is>
      </c>
      <c r="B1" s="1" t="inlineStr">
        <is>
          <t>Prompt_Strategy</t>
        </is>
      </c>
      <c r="C1" s="1" t="inlineStr">
        <is>
          <t>Verified</t>
        </is>
      </c>
      <c r="D1" s="1" t="inlineStr">
        <is>
          <t>Partial</t>
        </is>
      </c>
      <c r="E1" s="1" t="inlineStr">
        <is>
          <t>Incorrect</t>
        </is>
      </c>
      <c r="F1" s="1" t="inlineStr">
        <is>
          <t>Outdated</t>
        </is>
      </c>
      <c r="G1" s="1" t="inlineStr">
        <is>
          <t>Unsupported</t>
        </is>
      </c>
      <c r="H1" s="1" t="inlineStr">
        <is>
          <t>Accuracy_%</t>
        </is>
      </c>
      <c r="I1" s="1" t="inlineStr">
        <is>
          <t>Grounding_%</t>
        </is>
      </c>
    </row>
    <row r="2" ht="24" customHeight="1">
      <c r="A2" s="2" t="inlineStr">
        <is>
          <t>ChatGPT (GPT-4o)</t>
        </is>
      </c>
      <c r="B2" s="2" t="inlineStr">
        <is>
          <t>A-Basic</t>
        </is>
      </c>
      <c r="C2" s="2">
        <f>COUNTIFS(Claim_Verification!$C:$C,$A2,Claim_Verification!$D:$D,$B2,Claim_Verification!$H:$H,"Verified")</f>
        <v/>
      </c>
      <c r="D2" s="2">
        <f>COUNTIFS(Claim_Verification!$C:$C,$A2,Claim_Verification!$D:$D,$B2,Claim_Verification!$H:$H,"Partially verified")</f>
        <v/>
      </c>
      <c r="E2" s="2">
        <f>COUNTIFS(Claim_Verification!$C:$C,$A2,Claim_Verification!$D:$D,$B2,Claim_Verification!$H:$H,"Incorrect")</f>
        <v/>
      </c>
      <c r="F2" s="2">
        <f>COUNTIFS(Claim_Verification!$C:$C,$A2,Claim_Verification!$D:$D,$B2,Claim_Verification!$H:$H,"Outdated")</f>
        <v/>
      </c>
      <c r="G2" s="2">
        <f>COUNTIFS(Claim_Verification!$C:$C,$A2,Claim_Verification!$D:$D,$B2,Claim_Verification!$H:$H,"Unsupported by source")</f>
        <v/>
      </c>
      <c r="H2" s="4">
        <f>IFERROR((C2+0.5*D2)/(C2+D2+E2+F2),"")</f>
        <v/>
      </c>
      <c r="I2" s="4">
        <f>IFERROR((C2+D2)/(C2+D2+E2+F2+G2),"")</f>
        <v/>
      </c>
    </row>
    <row r="3" ht="24" customHeight="1">
      <c r="A3" s="3" t="inlineStr">
        <is>
          <t>ChatGPT (GPT-4o)</t>
        </is>
      </c>
      <c r="B3" s="3" t="inlineStr">
        <is>
          <t>B-Evidence</t>
        </is>
      </c>
      <c r="C3" s="3">
        <f>COUNTIFS(Claim_Verification!$C:$C,$A3,Claim_Verification!$D:$D,$B3,Claim_Verification!$H:$H,"Verified")</f>
        <v/>
      </c>
      <c r="D3" s="3">
        <f>COUNTIFS(Claim_Verification!$C:$C,$A3,Claim_Verification!$D:$D,$B3,Claim_Verification!$H:$H,"Partially verified")</f>
        <v/>
      </c>
      <c r="E3" s="3">
        <f>COUNTIFS(Claim_Verification!$C:$C,$A3,Claim_Verification!$D:$D,$B3,Claim_Verification!$H:$H,"Incorrect")</f>
        <v/>
      </c>
      <c r="F3" s="3">
        <f>COUNTIFS(Claim_Verification!$C:$C,$A3,Claim_Verification!$D:$D,$B3,Claim_Verification!$H:$H,"Outdated")</f>
        <v/>
      </c>
      <c r="G3" s="3">
        <f>COUNTIFS(Claim_Verification!$C:$C,$A3,Claim_Verification!$D:$D,$B3,Claim_Verification!$H:$H,"Unsupported by source")</f>
        <v/>
      </c>
      <c r="H3" s="5">
        <f>IFERROR((C3+0.5*D3)/(C3+D3+E3+F3),"")</f>
        <v/>
      </c>
      <c r="I3" s="5">
        <f>IFERROR((C3+D3)/(C3+D3+E3+F3+G3),"")</f>
        <v/>
      </c>
    </row>
    <row r="4" ht="24" customHeight="1">
      <c r="A4" s="2" t="inlineStr">
        <is>
          <t>Gemini (Gemini 1.5 Pro)</t>
        </is>
      </c>
      <c r="B4" s="2" t="inlineStr">
        <is>
          <t>A-Basic</t>
        </is>
      </c>
      <c r="C4" s="2">
        <f>COUNTIFS(Claim_Verification!$C:$C,$A4,Claim_Verification!$D:$D,$B4,Claim_Verification!$H:$H,"Verified")</f>
        <v/>
      </c>
      <c r="D4" s="2">
        <f>COUNTIFS(Claim_Verification!$C:$C,$A4,Claim_Verification!$D:$D,$B4,Claim_Verification!$H:$H,"Partially verified")</f>
        <v/>
      </c>
      <c r="E4" s="2">
        <f>COUNTIFS(Claim_Verification!$C:$C,$A4,Claim_Verification!$D:$D,$B4,Claim_Verification!$H:$H,"Incorrect")</f>
        <v/>
      </c>
      <c r="F4" s="2">
        <f>COUNTIFS(Claim_Verification!$C:$C,$A4,Claim_Verification!$D:$D,$B4,Claim_Verification!$H:$H,"Outdated")</f>
        <v/>
      </c>
      <c r="G4" s="2">
        <f>COUNTIFS(Claim_Verification!$C:$C,$A4,Claim_Verification!$D:$D,$B4,Claim_Verification!$H:$H,"Unsupported by source")</f>
        <v/>
      </c>
      <c r="H4" s="4">
        <f>IFERROR((C4+0.5*D4)/(C4+D4+E4+F4),"")</f>
        <v/>
      </c>
      <c r="I4" s="4">
        <f>IFERROR((C4+D4)/(C4+D4+E4+F4+G4),"")</f>
        <v/>
      </c>
    </row>
    <row r="5" ht="24" customHeight="1">
      <c r="A5" s="3" t="inlineStr">
        <is>
          <t>Gemini (Gemini 1.5 Pro)</t>
        </is>
      </c>
      <c r="B5" s="3" t="inlineStr">
        <is>
          <t>B-Evidence</t>
        </is>
      </c>
      <c r="C5" s="3">
        <f>COUNTIFS(Claim_Verification!$C:$C,$A5,Claim_Verification!$D:$D,$B5,Claim_Verification!$H:$H,"Verified")</f>
        <v/>
      </c>
      <c r="D5" s="3">
        <f>COUNTIFS(Claim_Verification!$C:$C,$A5,Claim_Verification!$D:$D,$B5,Claim_Verification!$H:$H,"Partially verified")</f>
        <v/>
      </c>
      <c r="E5" s="3">
        <f>COUNTIFS(Claim_Verification!$C:$C,$A5,Claim_Verification!$D:$D,$B5,Claim_Verification!$H:$H,"Incorrect")</f>
        <v/>
      </c>
      <c r="F5" s="3">
        <f>COUNTIFS(Claim_Verification!$C:$C,$A5,Claim_Verification!$D:$D,$B5,Claim_Verification!$H:$H,"Outdated")</f>
        <v/>
      </c>
      <c r="G5" s="3">
        <f>COUNTIFS(Claim_Verification!$C:$C,$A5,Claim_Verification!$D:$D,$B5,Claim_Verification!$H:$H,"Unsupported by source")</f>
        <v/>
      </c>
      <c r="H5" s="5">
        <f>IFERROR((C5+0.5*D5)/(C5+D5+E5+F5),"")</f>
        <v/>
      </c>
      <c r="I5" s="5">
        <f>IFERROR((C5+D5)/(C5+D5+E5+F5+G5),"")</f>
        <v/>
      </c>
    </row>
    <row r="6" ht="24" customHeight="1">
      <c r="A6" s="2" t="inlineStr">
        <is>
          <t>Claude (Claude 3.5 Sonnet)</t>
        </is>
      </c>
      <c r="B6" s="2" t="inlineStr">
        <is>
          <t>A-Basic</t>
        </is>
      </c>
      <c r="C6" s="2">
        <f>COUNTIFS(Claim_Verification!$C:$C,$A6,Claim_Verification!$D:$D,$B6,Claim_Verification!$H:$H,"Verified")</f>
        <v/>
      </c>
      <c r="D6" s="2">
        <f>COUNTIFS(Claim_Verification!$C:$C,$A6,Claim_Verification!$D:$D,$B6,Claim_Verification!$H:$H,"Partially verified")</f>
        <v/>
      </c>
      <c r="E6" s="2">
        <f>COUNTIFS(Claim_Verification!$C:$C,$A6,Claim_Verification!$D:$D,$B6,Claim_Verification!$H:$H,"Incorrect")</f>
        <v/>
      </c>
      <c r="F6" s="2">
        <f>COUNTIFS(Claim_Verification!$C:$C,$A6,Claim_Verification!$D:$D,$B6,Claim_Verification!$H:$H,"Outdated")</f>
        <v/>
      </c>
      <c r="G6" s="2">
        <f>COUNTIFS(Claim_Verification!$C:$C,$A6,Claim_Verification!$D:$D,$B6,Claim_Verification!$H:$H,"Unsupported by source")</f>
        <v/>
      </c>
      <c r="H6" s="4">
        <f>IFERROR((C6+0.5*D6)/(C6+D6+E6+F6),"")</f>
        <v/>
      </c>
      <c r="I6" s="4">
        <f>IFERROR((C6+D6)/(C6+D6+E6+F6+G6),"")</f>
        <v/>
      </c>
    </row>
    <row r="7" ht="24" customHeight="1">
      <c r="A7" s="3" t="inlineStr">
        <is>
          <t>Claude (Claude 3.5 Sonnet)</t>
        </is>
      </c>
      <c r="B7" s="3" t="inlineStr">
        <is>
          <t>B-Evidence</t>
        </is>
      </c>
      <c r="C7" s="3">
        <f>COUNTIFS(Claim_Verification!$C:$C,$A7,Claim_Verification!$D:$D,$B7,Claim_Verification!$H:$H,"Verified")</f>
        <v/>
      </c>
      <c r="D7" s="3">
        <f>COUNTIFS(Claim_Verification!$C:$C,$A7,Claim_Verification!$D:$D,$B7,Claim_Verification!$H:$H,"Partially verified")</f>
        <v/>
      </c>
      <c r="E7" s="3">
        <f>COUNTIFS(Claim_Verification!$C:$C,$A7,Claim_Verification!$D:$D,$B7,Claim_Verification!$H:$H,"Incorrect")</f>
        <v/>
      </c>
      <c r="F7" s="3">
        <f>COUNTIFS(Claim_Verification!$C:$C,$A7,Claim_Verification!$D:$D,$B7,Claim_Verification!$H:$H,"Outdated")</f>
        <v/>
      </c>
      <c r="G7" s="3">
        <f>COUNTIFS(Claim_Verification!$C:$C,$A7,Claim_Verification!$D:$D,$B7,Claim_Verification!$H:$H,"Unsupported by source")</f>
        <v/>
      </c>
      <c r="H7" s="5">
        <f>IFERROR((C7+0.5*D7)/(C7+D7+E7+F7),"")</f>
        <v/>
      </c>
      <c r="I7" s="5">
        <f>IFERROR((C7+D7)/(C7+D7+E7+F7+G7),"")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2026-10-29T15:22:25Z</dcterms:created>
  <dcterms:modified xmlns:dcterms="http://purl.org/dc/terms/" xmlns:xsi="http://www.w3.org/2001/XMLSchema-instance" xsi:type="dcterms:W3CDTF">2026-10-29T15:22:25Z</dcterms:modified>
</cp:coreProperties>
</file>